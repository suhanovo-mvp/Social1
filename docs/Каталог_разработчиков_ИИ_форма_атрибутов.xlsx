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работать" sheetId="1" state="visible" r:id="rId1"/>
    <sheet xmlns:r="http://schemas.openxmlformats.org/officeDocument/2006/relationships" name="Атрибуты" sheetId="2" state="visible" r:id="rId2"/>
    <sheet xmlns:r="http://schemas.openxmlformats.org/officeDocument/2006/relationships" name="Справочники" sheetId="3" state="visible" r:id="rId3"/>
    <sheet xmlns:r="http://schemas.openxmlformats.org/officeDocument/2006/relationships" name="Разработчики" sheetId="4" state="visible" r:id="rId4"/>
    <sheet xmlns:r="http://schemas.openxmlformats.org/officeDocument/2006/relationships" name="Портфолио" sheetId="5" state="visible" r:id="rId5"/>
    <sheet xmlns:r="http://schemas.openxmlformats.org/officeDocument/2006/relationships" name="Решения" sheetId="6" state="visible" r:id="rId6"/>
    <sheet xmlns:r="http://schemas.openxmlformats.org/officeDocument/2006/relationships" name="Журнал" sheetId="7" state="visible" r:id="rId7"/>
    <sheet xmlns:r="http://schemas.openxmlformats.org/officeDocument/2006/relationships" name="Оценки" sheetId="8" state="visible" r:id="rId8"/>
    <sheet xmlns:r="http://schemas.openxmlformats.org/officeDocument/2006/relationships" name="Доступ" sheetId="9" state="visible" r:id="rId9"/>
  </sheets>
  <definedNames>
    <definedName name="_xlnm._FilterDatabase" localSheetId="1" hidden="1">'Атрибуты'!$A$4:$N$94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12294C"/>
      <sz val="14"/>
    </font>
    <font>
      <name val="Arial"/>
      <i val="1"/>
      <color rgb="007C879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4A5568"/>
      <sz val="9"/>
    </font>
    <font>
      <name val="Arial"/>
      <b val="1"/>
      <sz val="9"/>
    </font>
    <font>
      <name val="Arial"/>
      <i val="1"/>
      <color rgb="004A5568"/>
      <sz val="10"/>
    </font>
    <font>
      <name val="Arial"/>
      <b val="1"/>
      <color rgb="00FFFFFF"/>
      <sz val="15"/>
    </font>
    <font>
      <name val="Arial"/>
      <b val="1"/>
      <color rgb="0012294C"/>
      <sz val="11"/>
    </font>
    <font>
      <name val="Arial"/>
      <b val="1"/>
      <sz val="10"/>
    </font>
    <font>
      <name val="Arial"/>
      <b val="1"/>
      <color rgb="00B32B2B"/>
      <sz val="10"/>
    </font>
    <font>
      <name val="Arial"/>
      <b val="1"/>
      <color rgb="00FFFFFF"/>
      <sz val="11"/>
    </font>
    <font>
      <name val="Arial"/>
      <b val="1"/>
      <color rgb="0012294C"/>
      <sz val="16"/>
    </font>
    <font>
      <name val="Arial"/>
      <color rgb="007C8798"/>
      <sz val="10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24508F"/>
      </patternFill>
    </fill>
    <fill>
      <patternFill patternType="solid">
        <fgColor rgb="0012294C"/>
      </patternFill>
    </fill>
    <fill>
      <patternFill patternType="solid">
        <fgColor rgb="00DDE9F9"/>
      </patternFill>
    </fill>
    <fill>
      <patternFill patternType="solid">
        <fgColor rgb="00FFF8DC"/>
      </patternFill>
    </fill>
    <fill>
      <patternFill patternType="solid">
        <fgColor rgb="00EEF0F4"/>
      </patternFill>
    </fill>
    <fill>
      <patternFill patternType="solid">
        <fgColor rgb="00E3F5EC"/>
      </patternFill>
    </fill>
    <fill>
      <patternFill patternType="solid">
        <fgColor rgb="00F4F6FA"/>
      </patternFill>
    </fill>
    <fill>
      <patternFill patternType="solid">
        <fgColor rgb="001A7F52"/>
      </patternFill>
    </fill>
    <fill>
      <patternFill patternType="solid">
        <fgColor rgb="00EFF5FD"/>
      </patternFill>
    </fill>
  </fills>
  <borders count="2">
    <border>
      <left/>
      <right/>
      <top/>
      <bottom/>
      <diagonal/>
    </border>
    <border>
      <left style="thin">
        <color rgb="00C4CCDA"/>
      </left>
      <right style="thin">
        <color rgb="00C4CCDA"/>
      </right>
      <top style="thin">
        <color rgb="00C4CCDA"/>
      </top>
      <bottom style="thin">
        <color rgb="00C4CCD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pivotButton="0" quotePrefix="0" xfId="0"/>
    <xf numFmtId="0" fontId="0" fillId="2" borderId="0" pivotButton="0" quotePrefix="0" xfId="0"/>
    <xf numFmtId="0" fontId="1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9" fillId="3" borderId="0" pivotButton="0" quotePrefix="0" xfId="0"/>
    <xf numFmtId="0" fontId="6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10" borderId="0" pivotButton="0" quotePrefix="0" xfId="0"/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3" fillId="9" borderId="0" pivotButton="0" quotePrefix="0" xfId="0"/>
    <xf numFmtId="0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49" fontId="8" fillId="8" borderId="1" applyAlignment="1" pivotButton="0" quotePrefix="0" xfId="0">
      <alignment vertical="top" wrapText="1"/>
    </xf>
    <xf numFmtId="9" fontId="8" fillId="8" borderId="1" applyAlignment="1" pivotButton="0" quotePrefix="0" xfId="0">
      <alignment vertical="top" wrapText="1"/>
    </xf>
    <xf numFmtId="49" fontId="4" fillId="5" borderId="1" applyAlignment="1" pivotButton="0" quotePrefix="0" xfId="0">
      <alignment vertical="top" wrapText="1"/>
    </xf>
    <xf numFmtId="9" fontId="4" fillId="6" borderId="1" applyAlignment="1" pivotButton="0" quotePrefix="0" xfId="0">
      <alignment vertical="top" wrapText="1"/>
    </xf>
    <xf numFmtId="164" fontId="8" fillId="8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8" fillId="8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B32B2B"/>
      </font>
    </dxf>
    <dxf>
      <font>
        <name val="Arial"/>
        <b val="1"/>
        <color rgb="001A7F5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Каталог разработчиков</author>
  </authors>
  <commentList>
    <comment ref="B80" authorId="0" shapeId="0">
      <text>
        <t>Опишите атрибут так же, как выше: название, смысл, тип, обязательность, кто заполняет, допустимые значения и зачем он нужен.</t>
      </text>
    </comment>
  </commentList>
</comments>
</file>

<file path=xl/comments/comment2.xml><?xml version="1.0" encoding="utf-8"?>
<comments xmlns="http://schemas.openxmlformats.org/spreadsheetml/2006/main">
  <authors>
    <author>Каталог разработчиков</author>
  </authors>
  <commentList>
    <comment ref="A4" authorId="0" shapeId="0">
      <text>
        <t>Внешний вендор, внутренняя команда учреждения или команда ДИТ. От вида зависят поля реквизитов.</t>
      </text>
    </comment>
    <comment ref="B4" authorId="0" shapeId="0">
      <text>
        <t>Как разработчика называют в работе. Единственное обязательное поле карточки. По нему ищутся дубли.</t>
      </text>
    </comment>
    <comment ref="C4" authorId="0" shapeId="0">
      <text>
        <t>Только для внешнего вендора.</t>
      </text>
    </comment>
    <comment ref="D4" authorId="0" shapeId="0">
      <text>
        <t>Только для внешнего вендора: 10 цифр у организации, 12 у предпринимателя. Второй вендор с тем же ИНН не сохранится.</t>
      </text>
    </comment>
    <comment ref="E4" authorId="0" shapeId="0">
      <text>
        <t>Для внутренней команды и команды ДИТ: учреждение, управление или отдел.</t>
      </text>
    </comment>
    <comment ref="G4" authorId="0" shapeId="0">
      <text>
        <t>Адрес с http:// или https://; без схемы будет дополнен https://.</t>
      </text>
    </comment>
    <comment ref="H4" authorId="0" shapeId="0">
      <text>
        <t>Только для внешнего вендора, число от 1900 до текущего года.</t>
      </text>
    </comment>
    <comment ref="I4" authorId="0" shapeId="0">
      <text>
        <t>Целое число. Может заполнять представитель разработчика.</t>
      </text>
    </comment>
    <comment ref="J4" authorId="0" shapeId="0">
      <text>
        <t>ФИО. Засчитывается в заполненность только вместе с почтой или телефоном.</t>
      </text>
    </comment>
    <comment ref="N4" authorId="0" shapeId="0">
      <text>
        <t>Кому придёт уведомление о правках представителя компании.</t>
      </text>
    </comment>
    <comment ref="O4" authorId="0" shapeId="0">
      <text>
        <t>Путь разработчика: Новый → На проверке → Квалифицирован → Привлечён к работе; отдельно «Не рекомендован» и «Архив». Представителю не показывается.</t>
      </text>
    </comment>
    <comment ref="P4" authorId="0" shapeId="0">
      <text>
        <t>Текущая занятость. Может обновлять представитель разработчика.</t>
      </text>
    </comment>
    <comment ref="Q4" authorId="0" shapeId="0">
      <text>
        <t>Внутренний ориентир модератора, представителю не показывается.</t>
      </text>
    </comment>
    <comment ref="R4" authorId="0" shapeId="0">
      <text>
        <t>Чем занимается, в чём силён, с какими заказчиками работал. Может заполнять представитель разработчика.</t>
      </text>
    </comment>
    <comment ref="S4" authorId="0" shapeId="0">
      <text>
        <t>Свободный список через запятую: Python, GigaChat, YandexGPT… По нему работает фильтр.</t>
      </text>
    </comment>
    <comment ref="AR4" authorId="0" shapeId="0">
      <text>
        <t>Субъект МСП — только для внешнего вендора.</t>
      </text>
    </comment>
    <comment ref="AS4" authorId="0" shapeId="0">
      <text>
        <t>Считается по листу «Портфолио».</t>
      </text>
    </comment>
    <comment ref="AT4" authorId="0" shapeId="0">
      <text>
        <t>Считается по листу «Решения».</t>
      </text>
    </comment>
    <comment ref="AU4" authorId="0" shapeId="0">
      <text>
        <t>Та же формула, что в портале: описание, компетенции, контакт и портфолио — по 15%; решения, требования и реквизиты — по 10%; команда и сайт — по 5%.</t>
      </text>
    </comment>
    <comment ref="AV4" authorId="0" shapeId="0">
      <text>
        <t>Замечание к этой строке: что уточнить, что неверно.</t>
      </text>
    </comment>
  </commentList>
</comments>
</file>

<file path=xl/comments/comment3.xml><?xml version="1.0" encoding="utf-8"?>
<comments xmlns="http://schemas.openxmlformats.org/spreadsheetml/2006/main">
  <authors>
    <author>Каталог разработчиков</author>
  </authors>
  <commentList>
    <comment ref="A4" authorId="0" shapeId="0">
      <text>
        <t>Название из листа «Разработчики» — выбирается из списка.</t>
      </text>
    </comment>
    <comment ref="D4" authorId="0" shapeId="0">
      <text>
        <t>С 1990 по следующий год.</t>
      </text>
    </comment>
    <comment ref="E4" authorId="0" shapeId="0">
      <text>
        <t>Учитывается в фильтре «Опыт в госсекторе».</t>
      </text>
    </comment>
    <comment ref="G4" authorId="0" shapeId="0">
      <text>
        <t>Время, точность, экономия — в цифрах.</t>
      </text>
    </comment>
    <comment ref="H4" authorId="0" shapeId="0">
      <text>
        <t>Через запятую.</t>
      </text>
    </comment>
    <comment ref="I4" authorId="0" shapeId="0">
      <text>
        <t>http:// или https://</t>
      </text>
    </comment>
    <comment ref="J4" authorId="0" shapeId="0">
      <text>
        <t>Модератор или представитель разработчика. Правки представителя ждут подтверждения модератором.</t>
      </text>
    </comment>
  </commentList>
</comments>
</file>

<file path=xl/comments/comment4.xml><?xml version="1.0" encoding="utf-8"?>
<comments xmlns="http://schemas.openxmlformats.org/spreadsheetml/2006/main">
  <authors>
    <author>Каталог разработчиков</author>
  </authors>
  <commentList>
    <comment ref="A4" authorId="0" shapeId="0">
      <text>
        <t>Название из листа «Разработчики» — выбирается из списка.</t>
      </text>
    </comment>
    <comment ref="D4" authorId="0" shapeId="0">
      <text>
        <t>Прототип — на тестовых данных; пилот — опробовано у заказчика; промышленная эксплуатация — можно брать без разработки.</t>
      </text>
    </comment>
    <comment ref="H4" authorId="0" shapeId="0">
      <text>
        <t>Через запятую.</t>
      </text>
    </comment>
    <comment ref="J4" authorId="0" shapeId="0">
      <text>
        <t>http:// или https://</t>
      </text>
    </comment>
    <comment ref="K4" authorId="0" shapeId="0">
      <text>
        <t>Модератор или представитель разработчика. Правки представителя ждут подтверждения модератором.</t>
      </text>
    </comment>
  </commentList>
</comments>
</file>

<file path=xl/comments/comment5.xml><?xml version="1.0" encoding="utf-8"?>
<comments xmlns="http://schemas.openxmlformats.org/spreadsheetml/2006/main">
  <authors>
    <author>Каталог разработчиков</author>
  </authors>
  <commentList>
    <comment ref="A4" authorId="0" shapeId="0">
      <text>
        <t>Название из листа «Разработчики» — выбирается из списка.</t>
      </text>
    </comment>
    <comment ref="B4" authorId="0" shapeId="0">
      <text>
        <t>Дата события, не позже сегодняшней.</t>
      </text>
    </comment>
  </commentList>
</comments>
</file>

<file path=xl/comments/comment6.xml><?xml version="1.0" encoding="utf-8"?>
<comments xmlns="http://schemas.openxmlformats.org/spreadsheetml/2006/main">
  <authors>
    <author>Каталог разработчиков</author>
  </authors>
  <commentList>
    <comment ref="A4" authorId="0" shapeId="0">
      <text>
        <t>Название из листа «Разработчики» — выбирается из списка.</t>
      </text>
    </comment>
    <comment ref="C4" authorId="0" shapeId="0">
      <text>
        <t>По какому проекту или пилоту ставится оценка.</t>
      </text>
    </comment>
    <comment ref="D4" authorId="0" shapeId="0">
      <text>
        <t>1–5</t>
      </text>
    </comment>
    <comment ref="E4" authorId="0" shapeId="0">
      <text>
        <t>1–5</t>
      </text>
    </comment>
    <comment ref="F4" authorId="0" shapeId="0">
      <text>
        <t>1–5</t>
      </text>
    </comment>
    <comment ref="G4" authorId="0" shapeId="0">
      <text>
        <t>Считается сама — так же, как в портале.</t>
      </text>
    </comment>
    <comment ref="H4" authorId="0" shapeId="0">
      <text>
        <t>Что получилось, что нет.</t>
      </text>
    </comment>
  </commentList>
</comments>
</file>

<file path=xl/comments/comment7.xml><?xml version="1.0" encoding="utf-8"?>
<comments xmlns="http://schemas.openxmlformats.org/spreadsheetml/2006/main">
  <authors>
    <author>Каталог разработчиков</author>
  </authors>
  <commentList>
    <comment ref="B4" authorId="0" shapeId="0">
      <text>
        <t>Под этим адресом сотрудник входит на платформу.</t>
      </text>
    </comment>
    <comment ref="D4" authorId="0" shapeId="0">
      <text>
        <t>Пользователь — смотрит и подбирает; модератор — ещё добавляет разработчиков и подтверждает правки; администратор — ещё выдаёт доступ; представитель — ведёт профиль своей компании.</t>
      </text>
    </comment>
    <comment ref="E4" authorId="0" shapeId="0">
      <text>
        <t>Заполняется только для роли «Представитель разработчика».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1">
      <c r="B1" s="1" t="inlineStr">
        <is>
          <t>Каталог разработчиков ИИ-решений — форма атрибутов</t>
        </is>
      </c>
    </row>
    <row r="2">
      <c r="B2" s="2" t="inlineStr">
        <is>
          <t>Платформа Social1 · для сбора комментариев и первичного заполнения · версия от 22.09.2026</t>
        </is>
      </c>
    </row>
    <row r="4">
      <c r="B4" s="3" t="inlineStr">
        <is>
          <t>ЗАЧЕМ</t>
        </is>
      </c>
      <c r="C4" s="4" t="n"/>
    </row>
    <row r="5">
      <c r="B5" s="5" t="inlineStr">
        <is>
          <t>Цель</t>
        </is>
      </c>
      <c r="C5" s="6" t="inlineStr">
        <is>
          <t>Согласовать состав атрибутов каталога и собрать данные о разработчиках до их внесения в портал. Атрибуты и справочники взяты из действующего кода каталога.</t>
        </is>
      </c>
    </row>
    <row r="6">
      <c r="B6" s="3" t="inlineStr">
        <is>
          <t>ЛИСТЫ</t>
        </is>
      </c>
      <c r="C6" s="4" t="n"/>
    </row>
    <row r="7">
      <c r="B7" s="5" t="inlineStr">
        <is>
          <t>Атрибуты</t>
        </is>
      </c>
      <c r="C7" s="6" t="inlineStr">
        <is>
          <t>Все атрибуты, сгруппированные по смыслу (11 групп): что означает, тип, обязательность, кто заполняет, допустимые значения, пример и где используется. Комментарии — в зелёных колонках. Новые атрибуты — в группе 12 внизу.</t>
        </is>
      </c>
    </row>
    <row r="8">
      <c r="B8" s="5" t="inlineStr">
        <is>
          <t>Разработчики</t>
        </is>
      </c>
      <c r="C8" s="6" t="inlineStr">
        <is>
          <t>Карточка разработчика: одна строка — один вендор, внутренняя команда или команда ДИТ.</t>
        </is>
      </c>
    </row>
    <row r="9">
      <c r="B9" s="5" t="inlineStr">
        <is>
          <t>Портфолио</t>
        </is>
      </c>
      <c r="C9" s="6" t="inlineStr">
        <is>
          <t>Выполненные проекты разработчиков.</t>
        </is>
      </c>
    </row>
    <row r="10">
      <c r="B10" s="5" t="inlineStr">
        <is>
          <t>Решения</t>
        </is>
      </c>
      <c r="C10" s="6" t="inlineStr">
        <is>
          <t>Готовые продукты, платформы, модели, услуги и технологии.</t>
        </is>
      </c>
    </row>
    <row r="11">
      <c r="B11" s="5" t="inlineStr">
        <is>
          <t>Журнал</t>
        </is>
      </c>
      <c r="C11" s="6" t="inlineStr">
        <is>
          <t>Встречи, звонки, письма, запросы информации и демонстрации.</t>
        </is>
      </c>
    </row>
    <row r="12">
      <c r="B12" s="5" t="inlineStr">
        <is>
          <t>Оценки</t>
        </is>
      </c>
      <c r="C12" s="6" t="inlineStr">
        <is>
          <t>Оценки по итогам совместной работы: качество, сроки, взаимодействие.</t>
        </is>
      </c>
    </row>
    <row r="13">
      <c r="B13" s="5" t="inlineStr">
        <is>
          <t>Доступ</t>
        </is>
      </c>
      <c r="C13" s="6" t="inlineStr">
        <is>
          <t>Кому выдать роль в каталоге; представители компаний-поставщиков.</t>
        </is>
      </c>
    </row>
    <row r="14">
      <c r="B14" s="5" t="inlineStr">
        <is>
          <t>Справочники</t>
        </is>
      </c>
      <c r="C14" s="6" t="inlineStr">
        <is>
          <t>Значения выпадающих списков. Предложения по их изменению — на листе «Атрибуты».</t>
        </is>
      </c>
    </row>
    <row r="15">
      <c r="B15" s="3" t="inlineStr">
        <is>
          <t>ЦВЕТА</t>
        </is>
      </c>
      <c r="C15" s="4" t="n"/>
    </row>
    <row r="16">
      <c r="B16" s="7" t="inlineStr">
        <is>
          <t>Жёлтые ячейки</t>
        </is>
      </c>
      <c r="C16" s="6" t="inlineStr">
        <is>
          <t>Заполняются. Поля со звёздочкой * в заголовке обязательны.</t>
        </is>
      </c>
    </row>
    <row r="17">
      <c r="B17" s="8" t="inlineStr">
        <is>
          <t>Зелёные ячейки</t>
        </is>
      </c>
      <c r="C17" s="6" t="inlineStr">
        <is>
          <t>Комментарии: замечание, предложение, автор, статус обсуждения.</t>
        </is>
      </c>
    </row>
    <row r="18">
      <c r="B18" s="9" t="inlineStr">
        <is>
          <t>Серые ячейки</t>
        </is>
      </c>
      <c r="C18" s="6" t="inlineStr">
        <is>
          <t>Считаются сами или заполняются системой портала — не редактируйте.</t>
        </is>
      </c>
    </row>
    <row r="19">
      <c r="B19" s="10" t="inlineStr">
        <is>
          <t>Строка 5 на листах</t>
        </is>
      </c>
      <c r="C19" s="6" t="inlineStr">
        <is>
          <t>Пример заполнения. Удалите или замените перед переносом данных в портал.</t>
        </is>
      </c>
    </row>
    <row r="20">
      <c r="B20" s="3" t="inlineStr">
        <is>
          <t>КТО ЗАПОЛНЯЕТ</t>
        </is>
      </c>
      <c r="C20" s="4" t="n"/>
    </row>
    <row r="21">
      <c r="B21" s="5" t="inlineStr">
        <is>
          <t>Модератор каталога</t>
        </is>
      </c>
      <c r="C21" s="6" t="inlineStr">
        <is>
          <t>Базовые сведения: вид, название, реквизиты, контакты, статус, стоимость; журнал; оценки.</t>
        </is>
      </c>
    </row>
    <row r="22">
      <c r="B22" s="5" t="inlineStr">
        <is>
          <t>Представитель разработчика</t>
        </is>
      </c>
      <c r="C22" s="6" t="inlineStr">
        <is>
          <t>Технологический профиль, портфолио и решения своей компании. Правки подтверждает модератор.</t>
        </is>
      </c>
    </row>
    <row r="23">
      <c r="B23" s="5" t="inlineStr">
        <is>
          <t>Администратор каталога</t>
        </is>
      </c>
      <c r="C23" s="6" t="inlineStr">
        <is>
          <t>Роли доступа к каталогу.</t>
        </is>
      </c>
    </row>
    <row r="24">
      <c r="B24" s="3" t="inlineStr">
        <is>
          <t>GOOGLE ТАБЛИЦЫ</t>
        </is>
      </c>
      <c r="C24" s="4" t="n"/>
    </row>
    <row r="25">
      <c r="B25" s="5" t="inlineStr">
        <is>
          <t>Перенос</t>
        </is>
      </c>
      <c r="C25" s="6" t="inlineStr">
        <is>
          <t>Загрузите файл на Google Диск и откройте как Google Таблицу (Файл → Открыть → Загрузка) или Файл → Импортировать → «Вставить новые листы». Выпадающие списки, проверки, формулы и цвета сохранятся. Для сбора комментариев откройте доступ «Комментатор» или «Редактор».</t>
        </is>
      </c>
    </row>
    <row r="26">
      <c r="B26" s="5" t="inlineStr">
        <is>
          <t>Комментарии в ячейках</t>
        </is>
      </c>
      <c r="C26" s="6" t="inlineStr">
        <is>
          <t>Пояснения к колонкам — в примечаниях заголовков (наведите курсор). Обсуждать удобно и через комментарии Google Таблиц к конкретной ячейке.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16" customWidth="1" min="4" max="4"/>
    <col width="11" customWidth="1" min="5" max="5"/>
    <col width="20" customWidth="1" min="6" max="6"/>
    <col width="40" customWidth="1" min="7" max="7"/>
    <col width="26" customWidth="1" min="8" max="8"/>
    <col width="30" customWidth="1" min="9" max="9"/>
    <col width="13" customWidth="1" min="10" max="10"/>
    <col width="36" customWidth="1" min="11" max="11"/>
    <col width="32" customWidth="1" min="12" max="12"/>
    <col width="18" customWidth="1" min="13" max="13"/>
    <col width="16" customWidth="1" min="14" max="14"/>
  </cols>
  <sheetData>
    <row r="1" ht="28" customHeight="1">
      <c r="A1" s="11" t="inlineStr">
        <is>
          <t>Каталог разработчиков ИИ-решений — атрибуты для заполнения</t>
        </is>
      </c>
    </row>
    <row r="2" ht="30" customHeight="1">
      <c r="A2" s="12" t="inlineStr">
        <is>
          <t>Все атрибуты карточки разработчика, портфолио, решений, журнала, оценок и доступа — сгруппированы по смыслу. Серые колонки описывают атрибут, зелёные — для ваших комментариев. Новые атрибуты предлагайте внизу листа.</t>
        </is>
      </c>
    </row>
    <row r="3">
      <c r="A3" s="13" t="inlineStr">
        <is>
          <t>Описание атрибута</t>
        </is>
      </c>
      <c r="K3" s="14" t="inlineStr">
        <is>
          <t>Обсуждение — заполняют участники</t>
        </is>
      </c>
    </row>
    <row r="4" ht="32" customHeight="1">
      <c r="A4" s="15" t="inlineStr">
        <is>
          <t>№</t>
        </is>
      </c>
      <c r="B4" s="15" t="inlineStr">
        <is>
          <t>Атрибут</t>
        </is>
      </c>
      <c r="C4" s="15" t="inlineStr">
        <is>
          <t>Описание</t>
        </is>
      </c>
      <c r="D4" s="15" t="inlineStr">
        <is>
          <t>Тип данных</t>
        </is>
      </c>
      <c r="E4" s="15" t="inlineStr">
        <is>
          <t>Обязательно</t>
        </is>
      </c>
      <c r="F4" s="15" t="inlineStr">
        <is>
          <t>Кто заполняет</t>
        </is>
      </c>
      <c r="G4" s="15" t="inlineStr">
        <is>
          <t>Допустимые значения, формат</t>
        </is>
      </c>
      <c r="H4" s="15" t="inlineStr">
        <is>
          <t>Пример</t>
        </is>
      </c>
      <c r="I4" s="15" t="inlineStr">
        <is>
          <t>Как используется в каталоге</t>
        </is>
      </c>
      <c r="J4" s="15" t="inlineStr">
        <is>
          <t>Лист формы</t>
        </is>
      </c>
      <c r="K4" s="16" t="inlineStr">
        <is>
          <t>Комментарий</t>
        </is>
      </c>
      <c r="L4" s="16" t="inlineStr">
        <is>
          <t>Предложение по изменению</t>
        </is>
      </c>
      <c r="M4" s="16" t="inlineStr">
        <is>
          <t>Автор комментария</t>
        </is>
      </c>
      <c r="N4" s="16" t="inlineStr">
        <is>
          <t>Статус обсуждения</t>
        </is>
      </c>
    </row>
    <row r="5" ht="20" customHeight="1">
      <c r="A5" s="17" t="inlineStr">
        <is>
          <t>1. Идентификация разработчика</t>
        </is>
      </c>
    </row>
    <row r="6">
      <c r="A6" s="18" t="inlineStr">
        <is>
          <t>1.1</t>
        </is>
      </c>
      <c r="B6" s="19" t="inlineStr">
        <is>
          <t>Вид разработчика</t>
        </is>
      </c>
      <c r="C6" s="18" t="inlineStr">
        <is>
          <t>Внешний вендор, внутренняя команда или команда ДИТ. Определяет набор реквизитов.</t>
        </is>
      </c>
      <c r="D6" s="18" t="inlineStr">
        <is>
          <t>Список</t>
        </is>
      </c>
      <c r="E6" s="20" t="inlineStr">
        <is>
          <t>Да</t>
        </is>
      </c>
      <c r="F6" s="18" t="inlineStr">
        <is>
          <t>Модератор</t>
        </is>
      </c>
      <c r="G6" s="18" t="inlineStr">
        <is>
          <t>Внешний вендор / Внутренняя команда / Команда ДИТ</t>
        </is>
      </c>
      <c r="H6" s="18" t="inlineStr">
        <is>
          <t>Внешний вендор</t>
        </is>
      </c>
      <c r="I6" s="18" t="inlineStr">
        <is>
          <t>вкладки видов, сравнение</t>
        </is>
      </c>
      <c r="J6" s="18" t="inlineStr">
        <is>
          <t>Разработчики</t>
        </is>
      </c>
      <c r="K6" s="21" t="inlineStr"/>
      <c r="L6" s="21" t="inlineStr"/>
      <c r="M6" s="21" t="inlineStr"/>
      <c r="N6" s="21" t="inlineStr"/>
    </row>
    <row r="7">
      <c r="A7" s="18" t="inlineStr">
        <is>
          <t>1.2</t>
        </is>
      </c>
      <c r="B7" s="19" t="inlineStr">
        <is>
          <t>Название</t>
        </is>
      </c>
      <c r="C7" s="18" t="inlineStr">
        <is>
          <t>Как разработчика называют в работе.</t>
        </is>
      </c>
      <c r="D7" s="18" t="inlineStr">
        <is>
          <t>Текст до 200 знаков</t>
        </is>
      </c>
      <c r="E7" s="20" t="inlineStr">
        <is>
          <t>Да</t>
        </is>
      </c>
      <c r="F7" s="18" t="inlineStr">
        <is>
          <t>Модератор</t>
        </is>
      </c>
      <c r="G7" s="18" t="inlineStr">
        <is>
          <t>Любой текст</t>
        </is>
      </c>
      <c r="H7" s="18" t="inlineStr">
        <is>
          <t>ООО «Нейросоциум»</t>
        </is>
      </c>
      <c r="I7" s="18" t="inlineStr">
        <is>
          <t>поиск, проверка дублей, сортировка</t>
        </is>
      </c>
      <c r="J7" s="18" t="inlineStr">
        <is>
          <t>Разработчики</t>
        </is>
      </c>
      <c r="K7" s="21" t="inlineStr"/>
      <c r="L7" s="21" t="inlineStr"/>
      <c r="M7" s="21" t="inlineStr"/>
      <c r="N7" s="21" t="inlineStr"/>
    </row>
    <row r="8">
      <c r="A8" s="18" t="inlineStr">
        <is>
          <t>1.3</t>
        </is>
      </c>
      <c r="B8" s="19" t="inlineStr">
        <is>
          <t>Полное наименование юрлица</t>
        </is>
      </c>
      <c r="C8" s="18" t="inlineStr">
        <is>
          <t>Официальное наименование организации.</t>
        </is>
      </c>
      <c r="D8" s="18" t="inlineStr">
        <is>
          <t>Текст до 300 знаков</t>
        </is>
      </c>
      <c r="E8" s="18" t="inlineStr">
        <is>
          <t>Нет</t>
        </is>
      </c>
      <c r="F8" s="18" t="inlineStr">
        <is>
          <t>Модератор</t>
        </is>
      </c>
      <c r="G8" s="18" t="inlineStr">
        <is>
          <t>Только для внешнего вендора</t>
        </is>
      </c>
      <c r="H8" s="18" t="inlineStr">
        <is>
          <t>Общество с ограниченной ответственностью «Нейросоциум»</t>
        </is>
      </c>
      <c r="I8" s="18" t="inlineStr">
        <is>
          <t>поиск</t>
        </is>
      </c>
      <c r="J8" s="18" t="inlineStr">
        <is>
          <t>Разработчики</t>
        </is>
      </c>
      <c r="K8" s="21" t="inlineStr"/>
      <c r="L8" s="21" t="inlineStr"/>
      <c r="M8" s="21" t="inlineStr"/>
      <c r="N8" s="21" t="inlineStr"/>
    </row>
    <row r="9">
      <c r="A9" s="18" t="inlineStr">
        <is>
          <t>1.4</t>
        </is>
      </c>
      <c r="B9" s="19" t="inlineStr">
        <is>
          <t>ИНН</t>
        </is>
      </c>
      <c r="C9" s="18" t="inlineStr">
        <is>
          <t>Идентификатор налогоплательщика.</t>
        </is>
      </c>
      <c r="D9" s="18" t="inlineStr">
        <is>
          <t>Текст из цифр</t>
        </is>
      </c>
      <c r="E9" s="18" t="inlineStr">
        <is>
          <t>Нет</t>
        </is>
      </c>
      <c r="F9" s="18" t="inlineStr">
        <is>
          <t>Модератор</t>
        </is>
      </c>
      <c r="G9" s="18" t="inlineStr">
        <is>
          <t>10 цифр (организация) или 12 (ИП); уникален в каталоге; только для вендора</t>
        </is>
      </c>
      <c r="H9" s="18" t="inlineStr">
        <is>
          <t>7700000011</t>
        </is>
      </c>
      <c r="I9" s="18" t="inlineStr">
        <is>
          <t>проверка дублей, заполненность «Реквизиты»</t>
        </is>
      </c>
      <c r="J9" s="18" t="inlineStr">
        <is>
          <t>Разработчики</t>
        </is>
      </c>
      <c r="K9" s="21" t="inlineStr"/>
      <c r="L9" s="21" t="inlineStr"/>
      <c r="M9" s="21" t="inlineStr"/>
      <c r="N9" s="21" t="inlineStr"/>
    </row>
    <row r="10">
      <c r="A10" s="18" t="inlineStr">
        <is>
          <t>1.5</t>
        </is>
      </c>
      <c r="B10" s="19" t="inlineStr">
        <is>
          <t>Подразделение</t>
        </is>
      </c>
      <c r="C10" s="18" t="inlineStr">
        <is>
          <t>Учреждение, управление или отдел, к которому относится команда.</t>
        </is>
      </c>
      <c r="D10" s="18" t="inlineStr">
        <is>
          <t>Текст до 300 знаков</t>
        </is>
      </c>
      <c r="E10" s="18" t="inlineStr">
        <is>
          <t>Нет</t>
        </is>
      </c>
      <c r="F10" s="18" t="inlineStr">
        <is>
          <t>Модератор</t>
        </is>
      </c>
      <c r="G10" s="18" t="inlineStr">
        <is>
          <t>Только для внутренней команды и команды ДИТ</t>
        </is>
      </c>
      <c r="H10" s="18" t="inlineStr">
        <is>
          <t>ТЦСО «Ярославский», отдел ИТ</t>
        </is>
      </c>
      <c r="I10" s="18" t="inlineStr">
        <is>
          <t>заполненность «Реквизиты»</t>
        </is>
      </c>
      <c r="J10" s="18" t="inlineStr">
        <is>
          <t>Разработчики</t>
        </is>
      </c>
      <c r="K10" s="21" t="inlineStr"/>
      <c r="L10" s="21" t="inlineStr"/>
      <c r="M10" s="21" t="inlineStr"/>
      <c r="N10" s="21" t="inlineStr"/>
    </row>
    <row r="11">
      <c r="A11" s="18" t="inlineStr">
        <is>
          <t>1.6</t>
        </is>
      </c>
      <c r="B11" s="19" t="inlineStr">
        <is>
          <t>Город</t>
        </is>
      </c>
      <c r="C11" s="18" t="inlineStr">
        <is>
          <t>Где находится разработчик.</t>
        </is>
      </c>
      <c r="D11" s="18" t="inlineStr">
        <is>
          <t>Текст до 100 знаков</t>
        </is>
      </c>
      <c r="E11" s="18" t="inlineStr">
        <is>
          <t>Нет</t>
        </is>
      </c>
      <c r="F11" s="18" t="inlineStr">
        <is>
          <t>Модератор</t>
        </is>
      </c>
      <c r="G11" s="18" t="inlineStr">
        <is>
          <t>Любой текст</t>
        </is>
      </c>
      <c r="H11" s="18" t="inlineStr">
        <is>
          <t>Москва</t>
        </is>
      </c>
      <c r="I11" s="18" t="inlineStr">
        <is>
          <t>поиск</t>
        </is>
      </c>
      <c r="J11" s="18" t="inlineStr">
        <is>
          <t>Разработчики</t>
        </is>
      </c>
      <c r="K11" s="21" t="inlineStr"/>
      <c r="L11" s="21" t="inlineStr"/>
      <c r="M11" s="21" t="inlineStr"/>
      <c r="N11" s="21" t="inlineStr"/>
    </row>
    <row r="12">
      <c r="A12" s="18" t="inlineStr">
        <is>
          <t>1.7</t>
        </is>
      </c>
      <c r="B12" s="19" t="inlineStr">
        <is>
          <t>Сайт</t>
        </is>
      </c>
      <c r="C12" s="18" t="inlineStr">
        <is>
          <t>Официальный сайт.</t>
        </is>
      </c>
      <c r="D12" s="18" t="inlineStr">
        <is>
          <t>Ссылка</t>
        </is>
      </c>
      <c r="E12" s="18" t="inlineStr">
        <is>
          <t>Нет</t>
        </is>
      </c>
      <c r="F12" s="18" t="inlineStr">
        <is>
          <t>Модератор</t>
        </is>
      </c>
      <c r="G12" s="18" t="inlineStr">
        <is>
          <t>http:// или https://; без схемы дополняется https://</t>
        </is>
      </c>
      <c r="H12" s="18" t="inlineStr">
        <is>
          <t>https://neurosocium.example</t>
        </is>
      </c>
      <c r="I12" s="18" t="inlineStr">
        <is>
          <t>заполненность (для вендора)</t>
        </is>
      </c>
      <c r="J12" s="18" t="inlineStr">
        <is>
          <t>Разработчики</t>
        </is>
      </c>
      <c r="K12" s="21" t="inlineStr"/>
      <c r="L12" s="21" t="inlineStr"/>
      <c r="M12" s="21" t="inlineStr"/>
      <c r="N12" s="21" t="inlineStr"/>
    </row>
    <row r="13">
      <c r="A13" s="18" t="inlineStr">
        <is>
          <t>1.8</t>
        </is>
      </c>
      <c r="B13" s="19" t="inlineStr">
        <is>
          <t>Год основания</t>
        </is>
      </c>
      <c r="C13" s="18" t="inlineStr">
        <is>
          <t>Год регистрации организации.</t>
        </is>
      </c>
      <c r="D13" s="18" t="inlineStr">
        <is>
          <t>Целое число</t>
        </is>
      </c>
      <c r="E13" s="18" t="inlineStr">
        <is>
          <t>Нет</t>
        </is>
      </c>
      <c r="F13" s="18" t="inlineStr">
        <is>
          <t>Модератор</t>
        </is>
      </c>
      <c r="G13" s="18" t="inlineStr">
        <is>
          <t>1900 — текущий год; только для вендора</t>
        </is>
      </c>
      <c r="H13" s="18" t="inlineStr">
        <is>
          <t>2016</t>
        </is>
      </c>
      <c r="I13" s="18" t="inlineStr">
        <is>
          <t>карточка</t>
        </is>
      </c>
      <c r="J13" s="18" t="inlineStr">
        <is>
          <t>Разработчики</t>
        </is>
      </c>
      <c r="K13" s="21" t="inlineStr"/>
      <c r="L13" s="21" t="inlineStr"/>
      <c r="M13" s="21" t="inlineStr"/>
      <c r="N13" s="21" t="inlineStr"/>
    </row>
    <row r="14">
      <c r="A14" s="18" t="inlineStr">
        <is>
          <t>1.9</t>
        </is>
      </c>
      <c r="B14" s="19" t="inlineStr">
        <is>
          <t>Размер команды, чел.</t>
        </is>
      </c>
      <c r="C14" s="18" t="inlineStr">
        <is>
          <t>Сколько человек в команде разработки.</t>
        </is>
      </c>
      <c r="D14" s="18" t="inlineStr">
        <is>
          <t>Целое число</t>
        </is>
      </c>
      <c r="E14" s="18" t="inlineStr">
        <is>
          <t>Нет</t>
        </is>
      </c>
      <c r="F14" s="18" t="inlineStr">
        <is>
          <t>Модератор или представитель</t>
        </is>
      </c>
      <c r="G14" s="18" t="inlineStr">
        <is>
          <t>1 — 100 000</t>
        </is>
      </c>
      <c r="H14" s="18" t="inlineStr">
        <is>
          <t>60</t>
        </is>
      </c>
      <c r="I14" s="18" t="inlineStr">
        <is>
          <t>сортировка, сравнение, заполненность</t>
        </is>
      </c>
      <c r="J14" s="18" t="inlineStr">
        <is>
          <t>Разработчики</t>
        </is>
      </c>
      <c r="K14" s="21" t="inlineStr"/>
      <c r="L14" s="21" t="inlineStr"/>
      <c r="M14" s="21" t="inlineStr"/>
      <c r="N14" s="21" t="inlineStr"/>
    </row>
    <row r="15" ht="20" customHeight="1">
      <c r="A15" s="17" t="inlineStr">
        <is>
          <t>2. Контакты и ответственность</t>
        </is>
      </c>
    </row>
    <row r="16">
      <c r="A16" s="18" t="inlineStr">
        <is>
          <t>2.1</t>
        </is>
      </c>
      <c r="B16" s="19" t="inlineStr">
        <is>
          <t>Контактное лицо</t>
        </is>
      </c>
      <c r="C16" s="18" t="inlineStr">
        <is>
          <t>ФИО представителя разработчика для связи.</t>
        </is>
      </c>
      <c r="D16" s="18" t="inlineStr">
        <is>
          <t>Текст</t>
        </is>
      </c>
      <c r="E16" s="18" t="inlineStr">
        <is>
          <t>Нет</t>
        </is>
      </c>
      <c r="F16" s="18" t="inlineStr">
        <is>
          <t>Модератор</t>
        </is>
      </c>
      <c r="G16" s="18" t="inlineStr">
        <is>
          <t>Засчитывается вместе с почтой или телефоном</t>
        </is>
      </c>
      <c r="H16" s="18" t="inlineStr">
        <is>
          <t>Орлова Мария Сергеевна</t>
        </is>
      </c>
      <c r="I16" s="18" t="inlineStr">
        <is>
          <t>заполненность «Контактное лицо»</t>
        </is>
      </c>
      <c r="J16" s="18" t="inlineStr">
        <is>
          <t>Разработчики</t>
        </is>
      </c>
      <c r="K16" s="21" t="inlineStr"/>
      <c r="L16" s="21" t="inlineStr"/>
      <c r="M16" s="21" t="inlineStr"/>
      <c r="N16" s="21" t="inlineStr"/>
    </row>
    <row r="17">
      <c r="A17" s="18" t="inlineStr">
        <is>
          <t>2.2</t>
        </is>
      </c>
      <c r="B17" s="19" t="inlineStr">
        <is>
          <t>Должность контакта</t>
        </is>
      </c>
      <c r="C17" s="18" t="inlineStr">
        <is>
          <t>Должность контактного лица.</t>
        </is>
      </c>
      <c r="D17" s="18" t="inlineStr">
        <is>
          <t>Текст</t>
        </is>
      </c>
      <c r="E17" s="18" t="inlineStr">
        <is>
          <t>Нет</t>
        </is>
      </c>
      <c r="F17" s="18" t="inlineStr">
        <is>
          <t>Модератор</t>
        </is>
      </c>
      <c r="G17" s="18" t="inlineStr">
        <is>
          <t>Любой текст</t>
        </is>
      </c>
      <c r="H17" s="18" t="inlineStr">
        <is>
          <t>Директор по работе с госсектором</t>
        </is>
      </c>
      <c r="I17" s="18" t="inlineStr">
        <is>
          <t>карточка</t>
        </is>
      </c>
      <c r="J17" s="18" t="inlineStr">
        <is>
          <t>Разработчики</t>
        </is>
      </c>
      <c r="K17" s="21" t="inlineStr"/>
      <c r="L17" s="21" t="inlineStr"/>
      <c r="M17" s="21" t="inlineStr"/>
      <c r="N17" s="21" t="inlineStr"/>
    </row>
    <row r="18">
      <c r="A18" s="18" t="inlineStr">
        <is>
          <t>2.3</t>
        </is>
      </c>
      <c r="B18" s="19" t="inlineStr">
        <is>
          <t>Эл. почта контакта</t>
        </is>
      </c>
      <c r="C18" s="18" t="inlineStr">
        <is>
          <t>Адрес для связи.</t>
        </is>
      </c>
      <c r="D18" s="18" t="inlineStr">
        <is>
          <t>Эл. почта</t>
        </is>
      </c>
      <c r="E18" s="18" t="inlineStr">
        <is>
          <t>Нет</t>
        </is>
      </c>
      <c r="F18" s="18" t="inlineStr">
        <is>
          <t>Модератор</t>
        </is>
      </c>
      <c r="G18" s="18" t="inlineStr">
        <is>
          <t>Формат имя@домен</t>
        </is>
      </c>
      <c r="H18" s="18" t="inlineStr">
        <is>
          <t>m.orlova@neurosocium.example</t>
        </is>
      </c>
      <c r="I18" s="18" t="inlineStr">
        <is>
          <t>карточка, выгрузка</t>
        </is>
      </c>
      <c r="J18" s="18" t="inlineStr">
        <is>
          <t>Разработчики</t>
        </is>
      </c>
      <c r="K18" s="21" t="inlineStr"/>
      <c r="L18" s="21" t="inlineStr"/>
      <c r="M18" s="21" t="inlineStr"/>
      <c r="N18" s="21" t="inlineStr"/>
    </row>
    <row r="19">
      <c r="A19" s="18" t="inlineStr">
        <is>
          <t>2.4</t>
        </is>
      </c>
      <c r="B19" s="19" t="inlineStr">
        <is>
          <t>Телефон контакта</t>
        </is>
      </c>
      <c r="C19" s="18" t="inlineStr">
        <is>
          <t>Телефон для связи.</t>
        </is>
      </c>
      <c r="D19" s="18" t="inlineStr">
        <is>
          <t>Текст</t>
        </is>
      </c>
      <c r="E19" s="18" t="inlineStr">
        <is>
          <t>Нет</t>
        </is>
      </c>
      <c r="F19" s="18" t="inlineStr">
        <is>
          <t>Модератор</t>
        </is>
      </c>
      <c r="G19" s="18" t="inlineStr">
        <is>
          <t>Любой формат</t>
        </is>
      </c>
      <c r="H19" s="18" t="inlineStr">
        <is>
          <t>+7 495 000-11-01</t>
        </is>
      </c>
      <c r="I19" s="18" t="inlineStr">
        <is>
          <t>карточка, выгрузка</t>
        </is>
      </c>
      <c r="J19" s="18" t="inlineStr">
        <is>
          <t>Разработчики</t>
        </is>
      </c>
      <c r="K19" s="21" t="inlineStr"/>
      <c r="L19" s="21" t="inlineStr"/>
      <c r="M19" s="21" t="inlineStr"/>
      <c r="N19" s="21" t="inlineStr"/>
    </row>
    <row r="20">
      <c r="A20" s="18" t="inlineStr">
        <is>
          <t>2.5</t>
        </is>
      </c>
      <c r="B20" s="19" t="inlineStr">
        <is>
          <t>Ведёт контакт</t>
        </is>
      </c>
      <c r="C20" s="18" t="inlineStr">
        <is>
          <t>Сотрудник ДТСЗН, отвечающий за отношения с разработчиком.</t>
        </is>
      </c>
      <c r="D20" s="18" t="inlineStr">
        <is>
          <t>Сотрудник платформы</t>
        </is>
      </c>
      <c r="E20" s="18" t="inlineStr">
        <is>
          <t>Нет</t>
        </is>
      </c>
      <c r="F20" s="18" t="inlineStr">
        <is>
          <t>Модератор</t>
        </is>
      </c>
      <c r="G20" s="18" t="inlineStr">
        <is>
          <t>Учётная запись платформы</t>
        </is>
      </c>
      <c r="H20" s="18" t="inlineStr">
        <is>
          <t>Ковалёв А. В.</t>
        </is>
      </c>
      <c r="I20" s="18" t="inlineStr">
        <is>
          <t>уведомления о правках представителя</t>
        </is>
      </c>
      <c r="J20" s="18" t="inlineStr">
        <is>
          <t>Разработчики</t>
        </is>
      </c>
      <c r="K20" s="21" t="inlineStr"/>
      <c r="L20" s="21" t="inlineStr"/>
      <c r="M20" s="21" t="inlineStr"/>
      <c r="N20" s="21" t="inlineStr"/>
    </row>
    <row r="21" ht="20" customHeight="1">
      <c r="A21" s="17" t="inlineStr">
        <is>
          <t>3. Статус отбора и условия</t>
        </is>
      </c>
    </row>
    <row r="22">
      <c r="A22" s="18" t="inlineStr">
        <is>
          <t>3.1</t>
        </is>
      </c>
      <c r="B22" s="19" t="inlineStr">
        <is>
          <t>Статус</t>
        </is>
      </c>
      <c r="C22" s="18" t="inlineStr">
        <is>
          <t>Где разработчик на пути от первого упоминания до привлечения к работе.</t>
        </is>
      </c>
      <c r="D22" s="18" t="inlineStr">
        <is>
          <t>Список</t>
        </is>
      </c>
      <c r="E22" s="20" t="inlineStr">
        <is>
          <t>Да</t>
        </is>
      </c>
      <c r="F22" s="18" t="inlineStr">
        <is>
          <t>Модератор</t>
        </is>
      </c>
      <c r="G22" s="18" t="inlineStr">
        <is>
          <t>Новый / На проверке / Квалифицирован / Привлечён к работе / Не рекомендован / Архив</t>
        </is>
      </c>
      <c r="H22" s="18" t="inlineStr">
        <is>
          <t>Квалифицирован</t>
        </is>
      </c>
      <c r="I22" s="18" t="inlineStr">
        <is>
          <t>фильтр, сводка «Привлечены», архив скрыт</t>
        </is>
      </c>
      <c r="J22" s="18" t="inlineStr">
        <is>
          <t>Разработчики</t>
        </is>
      </c>
      <c r="K22" s="21" t="inlineStr"/>
      <c r="L22" s="21" t="inlineStr"/>
      <c r="M22" s="21" t="inlineStr"/>
      <c r="N22" s="21" t="inlineStr"/>
    </row>
    <row r="23">
      <c r="A23" s="18" t="inlineStr">
        <is>
          <t>3.2</t>
        </is>
      </c>
      <c r="B23" s="19" t="inlineStr">
        <is>
          <t>Загрузка</t>
        </is>
      </c>
      <c r="C23" s="18" t="inlineStr">
        <is>
          <t>Насколько разработчик сейчас свободен.</t>
        </is>
      </c>
      <c r="D23" s="18" t="inlineStr">
        <is>
          <t>Список</t>
        </is>
      </c>
      <c r="E23" s="18" t="inlineStr">
        <is>
          <t>Нет</t>
        </is>
      </c>
      <c r="F23" s="18" t="inlineStr">
        <is>
          <t>Модератор или представитель</t>
        </is>
      </c>
      <c r="G23" s="18" t="inlineStr">
        <is>
          <t>Свободен / Загружен частично / Загружен полностью / Нет данных</t>
        </is>
      </c>
      <c r="H23" s="18" t="inlineStr">
        <is>
          <t>Загружен частично</t>
        </is>
      </c>
      <c r="I23" s="18" t="inlineStr">
        <is>
          <t>фильтр, сравнение</t>
        </is>
      </c>
      <c r="J23" s="18" t="inlineStr">
        <is>
          <t>Разработчики</t>
        </is>
      </c>
      <c r="K23" s="21" t="inlineStr"/>
      <c r="L23" s="21" t="inlineStr"/>
      <c r="M23" s="21" t="inlineStr"/>
      <c r="N23" s="21" t="inlineStr"/>
    </row>
    <row r="24">
      <c r="A24" s="18" t="inlineStr">
        <is>
          <t>3.3</t>
        </is>
      </c>
      <c r="B24" s="19" t="inlineStr">
        <is>
          <t>Уровень стоимости</t>
        </is>
      </c>
      <c r="C24" s="18" t="inlineStr">
        <is>
          <t>Внутренний ориентир стоимости работ.</t>
        </is>
      </c>
      <c r="D24" s="18" t="inlineStr">
        <is>
          <t>Список</t>
        </is>
      </c>
      <c r="E24" s="18" t="inlineStr">
        <is>
          <t>Нет</t>
        </is>
      </c>
      <c r="F24" s="18" t="inlineStr">
        <is>
          <t>Модератор</t>
        </is>
      </c>
      <c r="G24" s="18" t="inlineStr">
        <is>
          <t>1 — бюджетный / 2 — средний / 3 — высокий</t>
        </is>
      </c>
      <c r="H24" s="18" t="inlineStr">
        <is>
          <t>2 — средний</t>
        </is>
      </c>
      <c r="I24" s="18" t="inlineStr">
        <is>
          <t>сравнение; представителю не показывается</t>
        </is>
      </c>
      <c r="J24" s="18" t="inlineStr">
        <is>
          <t>Разработчики</t>
        </is>
      </c>
      <c r="K24" s="21" t="inlineStr"/>
      <c r="L24" s="21" t="inlineStr"/>
      <c r="M24" s="21" t="inlineStr"/>
      <c r="N24" s="21" t="inlineStr"/>
    </row>
    <row r="25" ht="20" customHeight="1">
      <c r="A25" s="17" t="inlineStr">
        <is>
          <t>4. Технологический профиль</t>
        </is>
      </c>
    </row>
    <row r="26">
      <c r="A26" s="18" t="inlineStr">
        <is>
          <t>4.1</t>
        </is>
      </c>
      <c r="B26" s="19" t="inlineStr">
        <is>
          <t>Описание</t>
        </is>
      </c>
      <c r="C26" s="18" t="inlineStr">
        <is>
          <t>Чем занимается, в чём силён, с какими заказчиками работал.</t>
        </is>
      </c>
      <c r="D26" s="18" t="inlineStr">
        <is>
          <t>Длинный текст</t>
        </is>
      </c>
      <c r="E26" s="18" t="inlineStr">
        <is>
          <t>Нет</t>
        </is>
      </c>
      <c r="F26" s="18" t="inlineStr">
        <is>
          <t>Модератор или представитель</t>
        </is>
      </c>
      <c r="G26" s="18" t="inlineStr">
        <is>
          <t>До 4000 знаков</t>
        </is>
      </c>
      <c r="H26" s="18" t="inlineStr">
        <is>
          <t>Виртуальные консультанты для органов соцзащиты…</t>
        </is>
      </c>
      <c r="I26" s="18" t="inlineStr">
        <is>
          <t>поиск, заполненность</t>
        </is>
      </c>
      <c r="J26" s="18" t="inlineStr">
        <is>
          <t>Разработчики</t>
        </is>
      </c>
      <c r="K26" s="21" t="inlineStr"/>
      <c r="L26" s="21" t="inlineStr"/>
      <c r="M26" s="21" t="inlineStr"/>
      <c r="N26" s="21" t="inlineStr"/>
    </row>
    <row r="27">
      <c r="A27" s="18" t="inlineStr">
        <is>
          <t>4.2</t>
        </is>
      </c>
      <c r="B27" s="19" t="inlineStr">
        <is>
          <t>Компетенции в ИИ</t>
        </is>
      </c>
      <c r="C27" s="18" t="inlineStr">
        <is>
          <t>Какие задачи ИИ умеет решать разработчик.</t>
        </is>
      </c>
      <c r="D27" s="18" t="inlineStr">
        <is>
          <t>Несколько значений</t>
        </is>
      </c>
      <c r="E27" s="18" t="inlineStr">
        <is>
          <t>Нет</t>
        </is>
      </c>
      <c r="F27" s="18" t="inlineStr">
        <is>
          <t>Модератор или представитель</t>
        </is>
      </c>
      <c r="G27" s="18" t="inlineStr">
        <is>
          <t>Языковые модели и ассистенты; Поиск по документам (RAG); Обработка текстов; Распознавание и синтез речи; Компьютерное зрение; Распознавание документов; Прогнозная аналитика; Рекомендательные системы; Чат-боты и голосовые помощники; Роботизация процессов (RPA); Инженерия данных; MLOps и инфраструктура ИИ</t>
        </is>
      </c>
      <c r="H27" s="18" t="inlineStr">
        <is>
          <t>Языковые модели и ассистенты; Поиск по документам (RAG)</t>
        </is>
      </c>
      <c r="I27" s="18" t="inlineStr">
        <is>
          <t>фильтр (все выбранные сразу), сравнение, заполненность, сводка пробелов</t>
        </is>
      </c>
      <c r="J27" s="18" t="inlineStr">
        <is>
          <t>Разработчики</t>
        </is>
      </c>
      <c r="K27" s="21" t="inlineStr"/>
      <c r="L27" s="21" t="inlineStr"/>
      <c r="M27" s="21" t="inlineStr"/>
      <c r="N27" s="21" t="inlineStr"/>
    </row>
    <row r="28">
      <c r="A28" s="18" t="inlineStr">
        <is>
          <t>4.3</t>
        </is>
      </c>
      <c r="B28" s="19" t="inlineStr">
        <is>
          <t>Отраслевой опыт</t>
        </is>
      </c>
      <c r="C28" s="18" t="inlineStr">
        <is>
          <t>В каких отраслях есть опыт проектов.</t>
        </is>
      </c>
      <c r="D28" s="18" t="inlineStr">
        <is>
          <t>Несколько значений</t>
        </is>
      </c>
      <c r="E28" s="18" t="inlineStr">
        <is>
          <t>Нет</t>
        </is>
      </c>
      <c r="F28" s="18" t="inlineStr">
        <is>
          <t>Модератор или представитель</t>
        </is>
      </c>
      <c r="G28" s="18" t="inlineStr">
        <is>
          <t>Социальная защита; Госуправление и госуслуги; Здравоохранение; Образование; Занятость и кадры; Финансы; Городское хозяйство</t>
        </is>
      </c>
      <c r="H28" s="18" t="inlineStr">
        <is>
          <t>Социальная защита</t>
        </is>
      </c>
      <c r="I28" s="18" t="inlineStr">
        <is>
          <t>фильтр</t>
        </is>
      </c>
      <c r="J28" s="18" t="inlineStr">
        <is>
          <t>Разработчики</t>
        </is>
      </c>
      <c r="K28" s="21" t="inlineStr"/>
      <c r="L28" s="21" t="inlineStr"/>
      <c r="M28" s="21" t="inlineStr"/>
      <c r="N28" s="21" t="inlineStr"/>
    </row>
    <row r="29">
      <c r="A29" s="18" t="inlineStr">
        <is>
          <t>4.4</t>
        </is>
      </c>
      <c r="B29" s="19" t="inlineStr">
        <is>
          <t>Технологии и инструменты</t>
        </is>
      </c>
      <c r="C29" s="18" t="inlineStr">
        <is>
          <t>Свободный список технологий.</t>
        </is>
      </c>
      <c r="D29" s="18" t="inlineStr">
        <is>
          <t>Список меток</t>
        </is>
      </c>
      <c r="E29" s="18" t="inlineStr">
        <is>
          <t>Нет</t>
        </is>
      </c>
      <c r="F29" s="18" t="inlineStr">
        <is>
          <t>Модератор или представитель</t>
        </is>
      </c>
      <c r="G29" s="18" t="inlineStr">
        <is>
          <t>Через запятую, до 30 меток по 40 знаков</t>
        </is>
      </c>
      <c r="H29" s="18" t="inlineStr">
        <is>
          <t>Python, GigaChat, YandexGPT</t>
        </is>
      </c>
      <c r="I29" s="18" t="inlineStr">
        <is>
          <t>фильтр по метке, поиск</t>
        </is>
      </c>
      <c r="J29" s="18" t="inlineStr">
        <is>
          <t>Разработчики</t>
        </is>
      </c>
      <c r="K29" s="21" t="inlineStr"/>
      <c r="L29" s="21" t="inlineStr"/>
      <c r="M29" s="21" t="inlineStr"/>
      <c r="N29" s="21" t="inlineStr"/>
    </row>
    <row r="30" ht="20" customHeight="1">
      <c r="A30" s="17" t="inlineStr">
        <is>
          <t>5. Соответствие требованиям госсектора</t>
        </is>
      </c>
    </row>
    <row r="31">
      <c r="A31" s="18" t="inlineStr">
        <is>
          <t>5.1</t>
        </is>
      </c>
      <c r="B31" s="19" t="inlineStr">
        <is>
          <t>ПО в реестре отечественного ПО</t>
        </is>
      </c>
      <c r="C31" s="18" t="inlineStr">
        <is>
          <t>Отмечается, если подтверждено документами или совместной работой.</t>
        </is>
      </c>
      <c r="D31" s="18" t="inlineStr">
        <is>
          <t>Да / Нет</t>
        </is>
      </c>
      <c r="E31" s="18" t="inlineStr">
        <is>
          <t>Нет</t>
        </is>
      </c>
      <c r="F31" s="18" t="inlineStr">
        <is>
          <t>Модератор или представитель</t>
        </is>
      </c>
      <c r="G31" s="18" t="inlineStr">
        <is>
          <t>Да / Нет</t>
        </is>
      </c>
      <c r="H31" s="18" t="inlineStr">
        <is>
          <t>Да</t>
        </is>
      </c>
      <c r="I31" s="18" t="inlineStr">
        <is>
          <t>фильтр, сравнение, заполненность</t>
        </is>
      </c>
      <c r="J31" s="18" t="inlineStr">
        <is>
          <t>Разработчики</t>
        </is>
      </c>
      <c r="K31" s="21" t="inlineStr"/>
      <c r="L31" s="21" t="inlineStr"/>
      <c r="M31" s="21" t="inlineStr"/>
      <c r="N31" s="21" t="inlineStr"/>
    </row>
    <row r="32">
      <c r="A32" s="18" t="inlineStr">
        <is>
          <t>5.2</t>
        </is>
      </c>
      <c r="B32" s="19" t="inlineStr">
        <is>
          <t>Работа с персональными данными (152-ФЗ)</t>
        </is>
      </c>
      <c r="C32" s="18" t="inlineStr">
        <is>
          <t>Отмечается, если подтверждено документами или совместной работой.</t>
        </is>
      </c>
      <c r="D32" s="18" t="inlineStr">
        <is>
          <t>Да / Нет</t>
        </is>
      </c>
      <c r="E32" s="18" t="inlineStr">
        <is>
          <t>Нет</t>
        </is>
      </c>
      <c r="F32" s="18" t="inlineStr">
        <is>
          <t>Модератор или представитель</t>
        </is>
      </c>
      <c r="G32" s="18" t="inlineStr">
        <is>
          <t>Да / Нет</t>
        </is>
      </c>
      <c r="H32" s="18" t="inlineStr">
        <is>
          <t>Да</t>
        </is>
      </c>
      <c r="I32" s="18" t="inlineStr">
        <is>
          <t>фильтр, сравнение, заполненность</t>
        </is>
      </c>
      <c r="J32" s="18" t="inlineStr">
        <is>
          <t>Разработчики</t>
        </is>
      </c>
      <c r="K32" s="21" t="inlineStr"/>
      <c r="L32" s="21" t="inlineStr"/>
      <c r="M32" s="21" t="inlineStr"/>
      <c r="N32" s="21" t="inlineStr"/>
    </row>
    <row r="33">
      <c r="A33" s="18" t="inlineStr">
        <is>
          <t>5.3</t>
        </is>
      </c>
      <c r="B33" s="19" t="inlineStr">
        <is>
          <t>Лицензии ФСТЭК, аттестованные решения</t>
        </is>
      </c>
      <c r="C33" s="18" t="inlineStr">
        <is>
          <t>Отмечается, если подтверждено документами или совместной работой.</t>
        </is>
      </c>
      <c r="D33" s="18" t="inlineStr">
        <is>
          <t>Да / Нет</t>
        </is>
      </c>
      <c r="E33" s="18" t="inlineStr">
        <is>
          <t>Нет</t>
        </is>
      </c>
      <c r="F33" s="18" t="inlineStr">
        <is>
          <t>Модератор или представитель</t>
        </is>
      </c>
      <c r="G33" s="18" t="inlineStr">
        <is>
          <t>Да / Нет</t>
        </is>
      </c>
      <c r="H33" s="18" t="inlineStr">
        <is>
          <t>Да</t>
        </is>
      </c>
      <c r="I33" s="18" t="inlineStr">
        <is>
          <t>фильтр, сравнение, заполненность</t>
        </is>
      </c>
      <c r="J33" s="18" t="inlineStr">
        <is>
          <t>Разработчики</t>
        </is>
      </c>
      <c r="K33" s="21" t="inlineStr"/>
      <c r="L33" s="21" t="inlineStr"/>
      <c r="M33" s="21" t="inlineStr"/>
      <c r="N33" s="21" t="inlineStr"/>
    </row>
    <row r="34">
      <c r="A34" s="18" t="inlineStr">
        <is>
          <t>5.4</t>
        </is>
      </c>
      <c r="B34" s="19" t="inlineStr">
        <is>
          <t>Развёртывание в закрытом контуре</t>
        </is>
      </c>
      <c r="C34" s="18" t="inlineStr">
        <is>
          <t>Отмечается, если подтверждено документами или совместной работой.</t>
        </is>
      </c>
      <c r="D34" s="18" t="inlineStr">
        <is>
          <t>Да / Нет</t>
        </is>
      </c>
      <c r="E34" s="18" t="inlineStr">
        <is>
          <t>Нет</t>
        </is>
      </c>
      <c r="F34" s="18" t="inlineStr">
        <is>
          <t>Модератор или представитель</t>
        </is>
      </c>
      <c r="G34" s="18" t="inlineStr">
        <is>
          <t>Да / Нет</t>
        </is>
      </c>
      <c r="H34" s="18" t="inlineStr">
        <is>
          <t>Да</t>
        </is>
      </c>
      <c r="I34" s="18" t="inlineStr">
        <is>
          <t>фильтр, сравнение, заполненность</t>
        </is>
      </c>
      <c r="J34" s="18" t="inlineStr">
        <is>
          <t>Разработчики</t>
        </is>
      </c>
      <c r="K34" s="21" t="inlineStr"/>
      <c r="L34" s="21" t="inlineStr"/>
      <c r="M34" s="21" t="inlineStr"/>
      <c r="N34" s="21" t="inlineStr"/>
    </row>
    <row r="35">
      <c r="A35" s="18" t="inlineStr">
        <is>
          <t>5.5</t>
        </is>
      </c>
      <c r="B35" s="19" t="inlineStr">
        <is>
          <t>Опыт госзаказа (44-ФЗ, 223-ФЗ)</t>
        </is>
      </c>
      <c r="C35" s="18" t="inlineStr">
        <is>
          <t>Отмечается, если подтверждено документами или совместной работой.</t>
        </is>
      </c>
      <c r="D35" s="18" t="inlineStr">
        <is>
          <t>Да / Нет</t>
        </is>
      </c>
      <c r="E35" s="18" t="inlineStr">
        <is>
          <t>Нет</t>
        </is>
      </c>
      <c r="F35" s="18" t="inlineStr">
        <is>
          <t>Модератор или представитель</t>
        </is>
      </c>
      <c r="G35" s="18" t="inlineStr">
        <is>
          <t>Да / Нет</t>
        </is>
      </c>
      <c r="H35" s="18" t="inlineStr">
        <is>
          <t>Да</t>
        </is>
      </c>
      <c r="I35" s="18" t="inlineStr">
        <is>
          <t>фильтр, сравнение, заполненность</t>
        </is>
      </c>
      <c r="J35" s="18" t="inlineStr">
        <is>
          <t>Разработчики</t>
        </is>
      </c>
      <c r="K35" s="21" t="inlineStr"/>
      <c r="L35" s="21" t="inlineStr"/>
      <c r="M35" s="21" t="inlineStr"/>
      <c r="N35" s="21" t="inlineStr"/>
    </row>
    <row r="36">
      <c r="A36" s="18" t="inlineStr">
        <is>
          <t>5.6</t>
        </is>
      </c>
      <c r="B36" s="19" t="inlineStr">
        <is>
          <t>Субъект МСП</t>
        </is>
      </c>
      <c r="C36" s="18" t="inlineStr">
        <is>
          <t>Отмечается, если подтверждено документами или совместной работой.</t>
        </is>
      </c>
      <c r="D36" s="18" t="inlineStr">
        <is>
          <t>Да / Нет</t>
        </is>
      </c>
      <c r="E36" s="18" t="inlineStr">
        <is>
          <t>Нет</t>
        </is>
      </c>
      <c r="F36" s="18" t="inlineStr">
        <is>
          <t>Модератор или представитель</t>
        </is>
      </c>
      <c r="G36" s="18" t="inlineStr">
        <is>
          <t>Только для внешнего вендора</t>
        </is>
      </c>
      <c r="H36" s="18" t="inlineStr">
        <is>
          <t>Да</t>
        </is>
      </c>
      <c r="I36" s="18" t="inlineStr">
        <is>
          <t>фильтр, сравнение, заполненность</t>
        </is>
      </c>
      <c r="J36" s="18" t="inlineStr">
        <is>
          <t>Разработчики</t>
        </is>
      </c>
      <c r="K36" s="21" t="inlineStr"/>
      <c r="L36" s="21" t="inlineStr"/>
      <c r="M36" s="21" t="inlineStr"/>
      <c r="N36" s="21" t="inlineStr"/>
    </row>
    <row r="37" ht="20" customHeight="1">
      <c r="A37" s="17" t="inlineStr">
        <is>
          <t>6. Портфолио — выполненные проекты</t>
        </is>
      </c>
    </row>
    <row r="38">
      <c r="A38" s="18" t="inlineStr">
        <is>
          <t>6.1</t>
        </is>
      </c>
      <c r="B38" s="19" t="inlineStr">
        <is>
          <t>Название проекта</t>
        </is>
      </c>
      <c r="C38" s="18" t="inlineStr">
        <is>
          <t>Что за проект.</t>
        </is>
      </c>
      <c r="D38" s="18" t="inlineStr">
        <is>
          <t>Текст до 300 знаков</t>
        </is>
      </c>
      <c r="E38" s="20" t="inlineStr">
        <is>
          <t>Да</t>
        </is>
      </c>
      <c r="F38" s="18" t="inlineStr">
        <is>
          <t>Модератор или представитель</t>
        </is>
      </c>
      <c r="G38" s="18" t="inlineStr">
        <is>
          <t>Любой текст</t>
        </is>
      </c>
      <c r="H38" s="18" t="inlineStr">
        <is>
          <t>Виртуальный консультант по мерам соцподдержки</t>
        </is>
      </c>
      <c r="I38" s="18" t="inlineStr">
        <is>
          <t>карточка</t>
        </is>
      </c>
      <c r="J38" s="18" t="inlineStr">
        <is>
          <t>Портфолио</t>
        </is>
      </c>
      <c r="K38" s="21" t="inlineStr"/>
      <c r="L38" s="21" t="inlineStr"/>
      <c r="M38" s="21" t="inlineStr"/>
      <c r="N38" s="21" t="inlineStr"/>
    </row>
    <row r="39">
      <c r="A39" s="18" t="inlineStr">
        <is>
          <t>6.2</t>
        </is>
      </c>
      <c r="B39" s="19" t="inlineStr">
        <is>
          <t>Заказчик</t>
        </is>
      </c>
      <c r="C39" s="18" t="inlineStr">
        <is>
          <t>Для кого выполнен.</t>
        </is>
      </c>
      <c r="D39" s="18" t="inlineStr">
        <is>
          <t>Текст</t>
        </is>
      </c>
      <c r="E39" s="18" t="inlineStr">
        <is>
          <t>Нет</t>
        </is>
      </c>
      <c r="F39" s="18" t="inlineStr">
        <is>
          <t>Модератор или представитель</t>
        </is>
      </c>
      <c r="G39" s="18" t="inlineStr">
        <is>
          <t>Любой текст</t>
        </is>
      </c>
      <c r="H39" s="18" t="inlineStr">
        <is>
          <t>Региональный орган соцзащиты</t>
        </is>
      </c>
      <c r="I39" s="18" t="inlineStr">
        <is>
          <t>карточка</t>
        </is>
      </c>
      <c r="J39" s="18" t="inlineStr">
        <is>
          <t>Портфолио</t>
        </is>
      </c>
      <c r="K39" s="21" t="inlineStr"/>
      <c r="L39" s="21" t="inlineStr"/>
      <c r="M39" s="21" t="inlineStr"/>
      <c r="N39" s="21" t="inlineStr"/>
    </row>
    <row r="40">
      <c r="A40" s="18" t="inlineStr">
        <is>
          <t>6.3</t>
        </is>
      </c>
      <c r="B40" s="19" t="inlineStr">
        <is>
          <t>Год</t>
        </is>
      </c>
      <c r="C40" s="18" t="inlineStr">
        <is>
          <t>Когда выполнен.</t>
        </is>
      </c>
      <c r="D40" s="18" t="inlineStr">
        <is>
          <t>Целое число</t>
        </is>
      </c>
      <c r="E40" s="18" t="inlineStr">
        <is>
          <t>Нет</t>
        </is>
      </c>
      <c r="F40" s="18" t="inlineStr">
        <is>
          <t>Модератор или представитель</t>
        </is>
      </c>
      <c r="G40" s="18" t="inlineStr">
        <is>
          <t>1990 — следующий год</t>
        </is>
      </c>
      <c r="H40" s="18" t="inlineStr">
        <is>
          <t>2024</t>
        </is>
      </c>
      <c r="I40" s="18" t="inlineStr">
        <is>
          <t>сортировка портфолио</t>
        </is>
      </c>
      <c r="J40" s="18" t="inlineStr">
        <is>
          <t>Портфолио</t>
        </is>
      </c>
      <c r="K40" s="21" t="inlineStr"/>
      <c r="L40" s="21" t="inlineStr"/>
      <c r="M40" s="21" t="inlineStr"/>
      <c r="N40" s="21" t="inlineStr"/>
    </row>
    <row r="41">
      <c r="A41" s="18" t="inlineStr">
        <is>
          <t>6.4</t>
        </is>
      </c>
      <c r="B41" s="19" t="inlineStr">
        <is>
          <t>Заказчик из госсектора</t>
        </is>
      </c>
      <c r="C41" s="18" t="inlineStr">
        <is>
          <t>Проект для государственного заказчика.</t>
        </is>
      </c>
      <c r="D41" s="18" t="inlineStr">
        <is>
          <t>Да / Нет</t>
        </is>
      </c>
      <c r="E41" s="18" t="inlineStr">
        <is>
          <t>Нет</t>
        </is>
      </c>
      <c r="F41" s="18" t="inlineStr">
        <is>
          <t>Модератор или представитель</t>
        </is>
      </c>
      <c r="G41" s="18" t="inlineStr">
        <is>
          <t>Да / Нет</t>
        </is>
      </c>
      <c r="H41" s="18" t="inlineStr">
        <is>
          <t>Да</t>
        </is>
      </c>
      <c r="I41" s="18" t="inlineStr">
        <is>
          <t>фильтр «Опыт в госсекторе»</t>
        </is>
      </c>
      <c r="J41" s="18" t="inlineStr">
        <is>
          <t>Портфолио</t>
        </is>
      </c>
      <c r="K41" s="21" t="inlineStr"/>
      <c r="L41" s="21" t="inlineStr"/>
      <c r="M41" s="21" t="inlineStr"/>
      <c r="N41" s="21" t="inlineStr"/>
    </row>
    <row r="42">
      <c r="A42" s="18" t="inlineStr">
        <is>
          <t>6.5</t>
        </is>
      </c>
      <c r="B42" s="19" t="inlineStr">
        <is>
          <t>Что сделано</t>
        </is>
      </c>
      <c r="C42" s="18" t="inlineStr">
        <is>
          <t>Содержание работ.</t>
        </is>
      </c>
      <c r="D42" s="18" t="inlineStr">
        <is>
          <t>Длинный текст</t>
        </is>
      </c>
      <c r="E42" s="18" t="inlineStr">
        <is>
          <t>Нет</t>
        </is>
      </c>
      <c r="F42" s="18" t="inlineStr">
        <is>
          <t>Модератор или представитель</t>
        </is>
      </c>
      <c r="G42" s="18" t="inlineStr">
        <is>
          <t>До 4000 знаков</t>
        </is>
      </c>
      <c r="H42" s="18" t="inlineStr">
        <is>
          <t>Ассистент отвечает на вопросы о пособиях…</t>
        </is>
      </c>
      <c r="I42" s="18" t="inlineStr">
        <is>
          <t>карточка</t>
        </is>
      </c>
      <c r="J42" s="18" t="inlineStr">
        <is>
          <t>Портфолио</t>
        </is>
      </c>
      <c r="K42" s="21" t="inlineStr"/>
      <c r="L42" s="21" t="inlineStr"/>
      <c r="M42" s="21" t="inlineStr"/>
      <c r="N42" s="21" t="inlineStr"/>
    </row>
    <row r="43">
      <c r="A43" s="18" t="inlineStr">
        <is>
          <t>6.6</t>
        </is>
      </c>
      <c r="B43" s="19" t="inlineStr">
        <is>
          <t>Результат</t>
        </is>
      </c>
      <c r="C43" s="18" t="inlineStr">
        <is>
          <t>Измеримый эффект.</t>
        </is>
      </c>
      <c r="D43" s="18" t="inlineStr">
        <is>
          <t>Текст до 2000 знаков</t>
        </is>
      </c>
      <c r="E43" s="18" t="inlineStr">
        <is>
          <t>Нет</t>
        </is>
      </c>
      <c r="F43" s="18" t="inlineStr">
        <is>
          <t>Модератор или представитель</t>
        </is>
      </c>
      <c r="G43" s="18" t="inlineStr">
        <is>
          <t>Время, точность, экономия — в цифрах</t>
        </is>
      </c>
      <c r="H43" s="18" t="inlineStr">
        <is>
          <t>62% обращений без оператора</t>
        </is>
      </c>
      <c r="I43" s="18" t="inlineStr">
        <is>
          <t>карточка</t>
        </is>
      </c>
      <c r="J43" s="18" t="inlineStr">
        <is>
          <t>Портфолио</t>
        </is>
      </c>
      <c r="K43" s="21" t="inlineStr"/>
      <c r="L43" s="21" t="inlineStr"/>
      <c r="M43" s="21" t="inlineStr"/>
      <c r="N43" s="21" t="inlineStr"/>
    </row>
    <row r="44">
      <c r="A44" s="18" t="inlineStr">
        <is>
          <t>6.7</t>
        </is>
      </c>
      <c r="B44" s="19" t="inlineStr">
        <is>
          <t>Технологии</t>
        </is>
      </c>
      <c r="C44" s="18" t="inlineStr">
        <is>
          <t>Чем сделано.</t>
        </is>
      </c>
      <c r="D44" s="18" t="inlineStr">
        <is>
          <t>Список меток</t>
        </is>
      </c>
      <c r="E44" s="18" t="inlineStr">
        <is>
          <t>Нет</t>
        </is>
      </c>
      <c r="F44" s="18" t="inlineStr">
        <is>
          <t>Модератор или представитель</t>
        </is>
      </c>
      <c r="G44" s="18" t="inlineStr">
        <is>
          <t>Через запятую</t>
        </is>
      </c>
      <c r="H44" s="18" t="inlineStr">
        <is>
          <t>GigaChat, RAG</t>
        </is>
      </c>
      <c r="I44" s="18" t="inlineStr">
        <is>
          <t>подсказки меток</t>
        </is>
      </c>
      <c r="J44" s="18" t="inlineStr">
        <is>
          <t>Портфолио</t>
        </is>
      </c>
      <c r="K44" s="21" t="inlineStr"/>
      <c r="L44" s="21" t="inlineStr"/>
      <c r="M44" s="21" t="inlineStr"/>
      <c r="N44" s="21" t="inlineStr"/>
    </row>
    <row r="45">
      <c r="A45" s="18" t="inlineStr">
        <is>
          <t>6.8</t>
        </is>
      </c>
      <c r="B45" s="19" t="inlineStr">
        <is>
          <t>Ссылка на описание</t>
        </is>
      </c>
      <c r="C45" s="18" t="inlineStr">
        <is>
          <t>Публикация или кейс.</t>
        </is>
      </c>
      <c r="D45" s="18" t="inlineStr">
        <is>
          <t>Ссылка</t>
        </is>
      </c>
      <c r="E45" s="18" t="inlineStr">
        <is>
          <t>Нет</t>
        </is>
      </c>
      <c r="F45" s="18" t="inlineStr">
        <is>
          <t>Модератор или представитель</t>
        </is>
      </c>
      <c r="G45" s="18" t="inlineStr">
        <is>
          <t>http:// или https://</t>
        </is>
      </c>
      <c r="H45" s="18" t="inlineStr"/>
      <c r="I45" s="18" t="inlineStr">
        <is>
          <t>карточка</t>
        </is>
      </c>
      <c r="J45" s="18" t="inlineStr">
        <is>
          <t>Портфолио</t>
        </is>
      </c>
      <c r="K45" s="21" t="inlineStr"/>
      <c r="L45" s="21" t="inlineStr"/>
      <c r="M45" s="21" t="inlineStr"/>
      <c r="N45" s="21" t="inlineStr"/>
    </row>
    <row r="46" ht="20" customHeight="1">
      <c r="A46" s="17" t="inlineStr">
        <is>
          <t>7. Решения и технологии</t>
        </is>
      </c>
    </row>
    <row r="47">
      <c r="A47" s="18" t="inlineStr">
        <is>
          <t>7.1</t>
        </is>
      </c>
      <c r="B47" s="19" t="inlineStr">
        <is>
          <t>Название решения</t>
        </is>
      </c>
      <c r="C47" s="18" t="inlineStr">
        <is>
          <t>Продукт, платформа, модель или услуга.</t>
        </is>
      </c>
      <c r="D47" s="18" t="inlineStr">
        <is>
          <t>Текст до 300 знаков</t>
        </is>
      </c>
      <c r="E47" s="20" t="inlineStr">
        <is>
          <t>Да</t>
        </is>
      </c>
      <c r="F47" s="18" t="inlineStr">
        <is>
          <t>Модератор или представитель</t>
        </is>
      </c>
      <c r="G47" s="18" t="inlineStr">
        <is>
          <t>Любой текст</t>
        </is>
      </c>
      <c r="H47" s="18" t="inlineStr">
        <is>
          <t>Социум.Ассистент</t>
        </is>
      </c>
      <c r="I47" s="18" t="inlineStr">
        <is>
          <t>поиск решений</t>
        </is>
      </c>
      <c r="J47" s="18" t="inlineStr">
        <is>
          <t>Решения</t>
        </is>
      </c>
      <c r="K47" s="21" t="inlineStr"/>
      <c r="L47" s="21" t="inlineStr"/>
      <c r="M47" s="21" t="inlineStr"/>
      <c r="N47" s="21" t="inlineStr"/>
    </row>
    <row r="48">
      <c r="A48" s="18" t="inlineStr">
        <is>
          <t>7.2</t>
        </is>
      </c>
      <c r="B48" s="19" t="inlineStr">
        <is>
          <t>Тип</t>
        </is>
      </c>
      <c r="C48" s="18" t="inlineStr">
        <is>
          <t>Что это за решение.</t>
        </is>
      </c>
      <c r="D48" s="18" t="inlineStr">
        <is>
          <t>Список</t>
        </is>
      </c>
      <c r="E48" s="20" t="inlineStr">
        <is>
          <t>Да</t>
        </is>
      </c>
      <c r="F48" s="18" t="inlineStr">
        <is>
          <t>Модератор или представитель</t>
        </is>
      </c>
      <c r="G48" s="18" t="inlineStr">
        <is>
          <t>Готовый продукт / Платформа / Модель или API / Заказная разработка / Технология, методика</t>
        </is>
      </c>
      <c r="H48" s="18" t="inlineStr">
        <is>
          <t>Платформа</t>
        </is>
      </c>
      <c r="I48" s="18" t="inlineStr">
        <is>
          <t>фильтр</t>
        </is>
      </c>
      <c r="J48" s="18" t="inlineStr">
        <is>
          <t>Решения</t>
        </is>
      </c>
      <c r="K48" s="21" t="inlineStr"/>
      <c r="L48" s="21" t="inlineStr"/>
      <c r="M48" s="21" t="inlineStr"/>
      <c r="N48" s="21" t="inlineStr"/>
    </row>
    <row r="49">
      <c r="A49" s="18" t="inlineStr">
        <is>
          <t>7.3</t>
        </is>
      </c>
      <c r="B49" s="19" t="inlineStr">
        <is>
          <t>Зрелость</t>
        </is>
      </c>
      <c r="C49" s="18" t="inlineStr">
        <is>
          <t>Насколько решение готово к работе.</t>
        </is>
      </c>
      <c r="D49" s="18" t="inlineStr">
        <is>
          <t>Список</t>
        </is>
      </c>
      <c r="E49" s="20" t="inlineStr">
        <is>
          <t>Да</t>
        </is>
      </c>
      <c r="F49" s="18" t="inlineStr">
        <is>
          <t>Модератор или представитель</t>
        </is>
      </c>
      <c r="G49" s="18" t="inlineStr">
        <is>
          <t>Прототип / Пилотное внедрение / Промышленная эксплуатация</t>
        </is>
      </c>
      <c r="H49" s="18" t="inlineStr">
        <is>
          <t>Промышленная эксплуатация</t>
        </is>
      </c>
      <c r="I49" s="18" t="inlineStr">
        <is>
          <t>фильтр, порядок выдачи (зрелые первыми)</t>
        </is>
      </c>
      <c r="J49" s="18" t="inlineStr">
        <is>
          <t>Решения</t>
        </is>
      </c>
      <c r="K49" s="21" t="inlineStr"/>
      <c r="L49" s="21" t="inlineStr"/>
      <c r="M49" s="21" t="inlineStr"/>
      <c r="N49" s="21" t="inlineStr"/>
    </row>
    <row r="50">
      <c r="A50" s="18" t="inlineStr">
        <is>
          <t>7.4</t>
        </is>
      </c>
      <c r="B50" s="19" t="inlineStr">
        <is>
          <t>Лицензия</t>
        </is>
      </c>
      <c r="C50" s="18" t="inlineStr">
        <is>
          <t>Модель распространения.</t>
        </is>
      </c>
      <c r="D50" s="18" t="inlineStr">
        <is>
          <t>Список</t>
        </is>
      </c>
      <c r="E50" s="18" t="inlineStr">
        <is>
          <t>Нет</t>
        </is>
      </c>
      <c r="F50" s="18" t="inlineStr">
        <is>
          <t>Модератор или представитель</t>
        </is>
      </c>
      <c r="G50" s="18" t="inlineStr">
        <is>
          <t>Проприетарная / Открытый код / Облачный сервис (SaaS)</t>
        </is>
      </c>
      <c r="H50" s="18" t="inlineStr">
        <is>
          <t>Проприетарная</t>
        </is>
      </c>
      <c r="I50" s="18" t="inlineStr">
        <is>
          <t>карточка решения</t>
        </is>
      </c>
      <c r="J50" s="18" t="inlineStr">
        <is>
          <t>Решения</t>
        </is>
      </c>
      <c r="K50" s="21" t="inlineStr"/>
      <c r="L50" s="21" t="inlineStr"/>
      <c r="M50" s="21" t="inlineStr"/>
      <c r="N50" s="21" t="inlineStr"/>
    </row>
    <row r="51">
      <c r="A51" s="18" t="inlineStr">
        <is>
          <t>7.5</t>
        </is>
      </c>
      <c r="B51" s="19" t="inlineStr">
        <is>
          <t>В реестре отечественного ПО</t>
        </is>
      </c>
      <c r="C51" s="18" t="inlineStr">
        <is>
          <t>Решение внесено в реестр.</t>
        </is>
      </c>
      <c r="D51" s="18" t="inlineStr">
        <is>
          <t>Да / Нет</t>
        </is>
      </c>
      <c r="E51" s="18" t="inlineStr">
        <is>
          <t>Нет</t>
        </is>
      </c>
      <c r="F51" s="18" t="inlineStr">
        <is>
          <t>Модератор или представитель</t>
        </is>
      </c>
      <c r="G51" s="18" t="inlineStr">
        <is>
          <t>Да / Нет</t>
        </is>
      </c>
      <c r="H51" s="18" t="inlineStr">
        <is>
          <t>Да</t>
        </is>
      </c>
      <c r="I51" s="18" t="inlineStr">
        <is>
          <t>фильтр</t>
        </is>
      </c>
      <c r="J51" s="18" t="inlineStr">
        <is>
          <t>Решения</t>
        </is>
      </c>
      <c r="K51" s="21" t="inlineStr"/>
      <c r="L51" s="21" t="inlineStr"/>
      <c r="M51" s="21" t="inlineStr"/>
      <c r="N51" s="21" t="inlineStr"/>
    </row>
    <row r="52">
      <c r="A52" s="18" t="inlineStr">
        <is>
          <t>7.6</t>
        </is>
      </c>
      <c r="B52" s="19" t="inlineStr">
        <is>
          <t>Описание</t>
        </is>
      </c>
      <c r="C52" s="18" t="inlineStr">
        <is>
          <t>Какую задачу решает.</t>
        </is>
      </c>
      <c r="D52" s="18" t="inlineStr">
        <is>
          <t>Длинный текст</t>
        </is>
      </c>
      <c r="E52" s="18" t="inlineStr">
        <is>
          <t>Нет</t>
        </is>
      </c>
      <c r="F52" s="18" t="inlineStr">
        <is>
          <t>Модератор или представитель</t>
        </is>
      </c>
      <c r="G52" s="18" t="inlineStr">
        <is>
          <t>До 4000 знаков</t>
        </is>
      </c>
      <c r="H52" s="18" t="inlineStr">
        <is>
          <t>Диалоговые ассистенты для граждан и сотрудников</t>
        </is>
      </c>
      <c r="I52" s="18" t="inlineStr">
        <is>
          <t>поиск решений</t>
        </is>
      </c>
      <c r="J52" s="18" t="inlineStr">
        <is>
          <t>Решения</t>
        </is>
      </c>
      <c r="K52" s="21" t="inlineStr"/>
      <c r="L52" s="21" t="inlineStr"/>
      <c r="M52" s="21" t="inlineStr"/>
      <c r="N52" s="21" t="inlineStr"/>
    </row>
    <row r="53">
      <c r="A53" s="18" t="inlineStr">
        <is>
          <t>7.7</t>
        </is>
      </c>
      <c r="B53" s="19" t="inlineStr">
        <is>
          <t>Какие задачи закрывает</t>
        </is>
      </c>
      <c r="C53" s="18" t="inlineStr">
        <is>
          <t>Компетенции в ИИ, которые покрывает решение.</t>
        </is>
      </c>
      <c r="D53" s="18" t="inlineStr">
        <is>
          <t>Несколько значений</t>
        </is>
      </c>
      <c r="E53" s="18" t="inlineStr">
        <is>
          <t>Нет</t>
        </is>
      </c>
      <c r="F53" s="18" t="inlineStr">
        <is>
          <t>Модератор или представитель</t>
        </is>
      </c>
      <c r="G53" s="18" t="inlineStr">
        <is>
          <t>Из справочника компетенций</t>
        </is>
      </c>
      <c r="H53" s="18" t="inlineStr">
        <is>
          <t>Языковые модели и ассистенты</t>
        </is>
      </c>
      <c r="I53" s="18" t="inlineStr">
        <is>
          <t>фильтр «Любая задача»</t>
        </is>
      </c>
      <c r="J53" s="18" t="inlineStr">
        <is>
          <t>Решения</t>
        </is>
      </c>
      <c r="K53" s="21" t="inlineStr"/>
      <c r="L53" s="21" t="inlineStr"/>
      <c r="M53" s="21" t="inlineStr"/>
      <c r="N53" s="21" t="inlineStr"/>
    </row>
    <row r="54">
      <c r="A54" s="18" t="inlineStr">
        <is>
          <t>7.8</t>
        </is>
      </c>
      <c r="B54" s="19" t="inlineStr">
        <is>
          <t>Технологии</t>
        </is>
      </c>
      <c r="C54" s="18" t="inlineStr">
        <is>
          <t>На чём построено.</t>
        </is>
      </c>
      <c r="D54" s="18" t="inlineStr">
        <is>
          <t>Список меток</t>
        </is>
      </c>
      <c r="E54" s="18" t="inlineStr">
        <is>
          <t>Нет</t>
        </is>
      </c>
      <c r="F54" s="18" t="inlineStr">
        <is>
          <t>Модератор или представитель</t>
        </is>
      </c>
      <c r="G54" s="18" t="inlineStr">
        <is>
          <t>Через запятую</t>
        </is>
      </c>
      <c r="H54" s="18" t="inlineStr">
        <is>
          <t>GigaChat, YandexGPT</t>
        </is>
      </c>
      <c r="I54" s="18" t="inlineStr">
        <is>
          <t>фильтр по метке</t>
        </is>
      </c>
      <c r="J54" s="18" t="inlineStr">
        <is>
          <t>Решения</t>
        </is>
      </c>
      <c r="K54" s="21" t="inlineStr"/>
      <c r="L54" s="21" t="inlineStr"/>
      <c r="M54" s="21" t="inlineStr"/>
      <c r="N54" s="21" t="inlineStr"/>
    </row>
    <row r="55">
      <c r="A55" s="18" t="inlineStr">
        <is>
          <t>7.9</t>
        </is>
      </c>
      <c r="B55" s="19" t="inlineStr">
        <is>
          <t>Стоимость, условия</t>
        </is>
      </c>
      <c r="C55" s="18" t="inlineStr">
        <is>
          <t>Как оплачивается.</t>
        </is>
      </c>
      <c r="D55" s="18" t="inlineStr">
        <is>
          <t>Текст до 500 знаков</t>
        </is>
      </c>
      <c r="E55" s="18" t="inlineStr">
        <is>
          <t>Нет</t>
        </is>
      </c>
      <c r="F55" s="18" t="inlineStr">
        <is>
          <t>Модератор или представитель</t>
        </is>
      </c>
      <c r="G55" s="18" t="inlineStr">
        <is>
          <t>Любой текст</t>
        </is>
      </c>
      <c r="H55" s="18" t="inlineStr">
        <is>
          <t>Лицензия на инсталляцию</t>
        </is>
      </c>
      <c r="I55" s="18" t="inlineStr">
        <is>
          <t>карточка решения</t>
        </is>
      </c>
      <c r="J55" s="18" t="inlineStr">
        <is>
          <t>Решения</t>
        </is>
      </c>
      <c r="K55" s="21" t="inlineStr"/>
      <c r="L55" s="21" t="inlineStr"/>
      <c r="M55" s="21" t="inlineStr"/>
      <c r="N55" s="21" t="inlineStr"/>
    </row>
    <row r="56">
      <c r="A56" s="18" t="inlineStr">
        <is>
          <t>7.10</t>
        </is>
      </c>
      <c r="B56" s="19" t="inlineStr">
        <is>
          <t>Ссылка</t>
        </is>
      </c>
      <c r="C56" s="18" t="inlineStr">
        <is>
          <t>Страница продукта или демо.</t>
        </is>
      </c>
      <c r="D56" s="18" t="inlineStr">
        <is>
          <t>Ссылка</t>
        </is>
      </c>
      <c r="E56" s="18" t="inlineStr">
        <is>
          <t>Нет</t>
        </is>
      </c>
      <c r="F56" s="18" t="inlineStr">
        <is>
          <t>Модератор или представитель</t>
        </is>
      </c>
      <c r="G56" s="18" t="inlineStr">
        <is>
          <t>http:// или https://</t>
        </is>
      </c>
      <c r="H56" s="18" t="inlineStr"/>
      <c r="I56" s="18" t="inlineStr">
        <is>
          <t>карточка решения</t>
        </is>
      </c>
      <c r="J56" s="18" t="inlineStr">
        <is>
          <t>Решения</t>
        </is>
      </c>
      <c r="K56" s="21" t="inlineStr"/>
      <c r="L56" s="21" t="inlineStr"/>
      <c r="M56" s="21" t="inlineStr"/>
      <c r="N56" s="21" t="inlineStr"/>
    </row>
    <row r="57" ht="20" customHeight="1">
      <c r="A57" s="17" t="inlineStr">
        <is>
          <t>8. Журнал взаимодействий</t>
        </is>
      </c>
    </row>
    <row r="58">
      <c r="A58" s="18" t="inlineStr">
        <is>
          <t>8.1</t>
        </is>
      </c>
      <c r="B58" s="19" t="inlineStr">
        <is>
          <t>Дата</t>
        </is>
      </c>
      <c r="C58" s="18" t="inlineStr">
        <is>
          <t>Когда было событие.</t>
        </is>
      </c>
      <c r="D58" s="18" t="inlineStr">
        <is>
          <t>Дата</t>
        </is>
      </c>
      <c r="E58" s="20" t="inlineStr">
        <is>
          <t>Да</t>
        </is>
      </c>
      <c r="F58" s="18" t="inlineStr">
        <is>
          <t>Модератор</t>
        </is>
      </c>
      <c r="G58" s="18" t="inlineStr">
        <is>
          <t>Не позже сегодняшней</t>
        </is>
      </c>
      <c r="H58" s="18" t="inlineStr">
        <is>
          <t>15.09.2026</t>
        </is>
      </c>
      <c r="I58" s="18" t="inlineStr">
        <is>
          <t>последний контакт, снимает метку «сверить»</t>
        </is>
      </c>
      <c r="J58" s="18" t="inlineStr">
        <is>
          <t>Журнал</t>
        </is>
      </c>
      <c r="K58" s="21" t="inlineStr"/>
      <c r="L58" s="21" t="inlineStr"/>
      <c r="M58" s="21" t="inlineStr"/>
      <c r="N58" s="21" t="inlineStr"/>
    </row>
    <row r="59">
      <c r="A59" s="18" t="inlineStr">
        <is>
          <t>8.2</t>
        </is>
      </c>
      <c r="B59" s="19" t="inlineStr">
        <is>
          <t>Вид записи</t>
        </is>
      </c>
      <c r="C59" s="18" t="inlineStr">
        <is>
          <t>Что за событие.</t>
        </is>
      </c>
      <c r="D59" s="18" t="inlineStr">
        <is>
          <t>Список</t>
        </is>
      </c>
      <c r="E59" s="20" t="inlineStr">
        <is>
          <t>Да</t>
        </is>
      </c>
      <c r="F59" s="18" t="inlineStr">
        <is>
          <t>Модератор</t>
        </is>
      </c>
      <c r="G59" s="18" t="inlineStr">
        <is>
          <t>Встреча / Звонок / Письмо / Запрос информации / Демонстрация / Заметка</t>
        </is>
      </c>
      <c r="H59" s="18" t="inlineStr">
        <is>
          <t>Демонстрация</t>
        </is>
      </c>
      <c r="I59" s="18" t="inlineStr">
        <is>
          <t>журнал карточки</t>
        </is>
      </c>
      <c r="J59" s="18" t="inlineStr">
        <is>
          <t>Журнал</t>
        </is>
      </c>
      <c r="K59" s="21" t="inlineStr"/>
      <c r="L59" s="21" t="inlineStr"/>
      <c r="M59" s="21" t="inlineStr"/>
      <c r="N59" s="21" t="inlineStr"/>
    </row>
    <row r="60">
      <c r="A60" s="18" t="inlineStr">
        <is>
          <t>8.3</t>
        </is>
      </c>
      <c r="B60" s="19" t="inlineStr">
        <is>
          <t>Содержание</t>
        </is>
      </c>
      <c r="C60" s="18" t="inlineStr">
        <is>
          <t>О чём договорились, следующие шаги.</t>
        </is>
      </c>
      <c r="D60" s="18" t="inlineStr">
        <is>
          <t>Длинный текст</t>
        </is>
      </c>
      <c r="E60" s="20" t="inlineStr">
        <is>
          <t>Да</t>
        </is>
      </c>
      <c r="F60" s="18" t="inlineStr">
        <is>
          <t>Модератор</t>
        </is>
      </c>
      <c r="G60" s="18" t="inlineStr">
        <is>
          <t>До 4000 знаков</t>
        </is>
      </c>
      <c r="H60" s="18" t="inlineStr">
        <is>
          <t>Договорились о пилоте</t>
        </is>
      </c>
      <c r="I60" s="18" t="inlineStr">
        <is>
          <t>журнал карточки; представителю не виден</t>
        </is>
      </c>
      <c r="J60" s="18" t="inlineStr">
        <is>
          <t>Журнал</t>
        </is>
      </c>
      <c r="K60" s="21" t="inlineStr"/>
      <c r="L60" s="21" t="inlineStr"/>
      <c r="M60" s="21" t="inlineStr"/>
      <c r="N60" s="21" t="inlineStr"/>
    </row>
    <row r="61" ht="20" customHeight="1">
      <c r="A61" s="17" t="inlineStr">
        <is>
          <t>9. Оценка по итогам работы</t>
        </is>
      </c>
    </row>
    <row r="62">
      <c r="A62" s="18" t="inlineStr">
        <is>
          <t>9.1</t>
        </is>
      </c>
      <c r="B62" s="19" t="inlineStr">
        <is>
          <t>Качество результата</t>
        </is>
      </c>
      <c r="C62" s="18" t="inlineStr">
        <is>
          <t>Насколько результат соответствует ожиданиям.</t>
        </is>
      </c>
      <c r="D62" s="18" t="inlineStr">
        <is>
          <t>Целое 1–5</t>
        </is>
      </c>
      <c r="E62" s="20" t="inlineStr">
        <is>
          <t>Да</t>
        </is>
      </c>
      <c r="F62" s="18" t="inlineStr">
        <is>
          <t>Модератор</t>
        </is>
      </c>
      <c r="G62" s="18" t="inlineStr">
        <is>
          <t>1–5</t>
        </is>
      </c>
      <c r="H62" s="18" t="inlineStr">
        <is>
          <t>5</t>
        </is>
      </c>
      <c r="I62" s="18" t="inlineStr">
        <is>
          <t>средняя оценка, сортировка</t>
        </is>
      </c>
      <c r="J62" s="18" t="inlineStr">
        <is>
          <t>Оценки</t>
        </is>
      </c>
      <c r="K62" s="21" t="inlineStr"/>
      <c r="L62" s="21" t="inlineStr"/>
      <c r="M62" s="21" t="inlineStr"/>
      <c r="N62" s="21" t="inlineStr"/>
    </row>
    <row r="63">
      <c r="A63" s="18" t="inlineStr">
        <is>
          <t>9.2</t>
        </is>
      </c>
      <c r="B63" s="19" t="inlineStr">
        <is>
          <t>Соблюдение сроков</t>
        </is>
      </c>
      <c r="C63" s="18" t="inlineStr">
        <is>
          <t>Уложились ли в сроки.</t>
        </is>
      </c>
      <c r="D63" s="18" t="inlineStr">
        <is>
          <t>Целое 1–5</t>
        </is>
      </c>
      <c r="E63" s="20" t="inlineStr">
        <is>
          <t>Да</t>
        </is>
      </c>
      <c r="F63" s="18" t="inlineStr">
        <is>
          <t>Модератор</t>
        </is>
      </c>
      <c r="G63" s="18" t="inlineStr">
        <is>
          <t>1–5</t>
        </is>
      </c>
      <c r="H63" s="18" t="inlineStr">
        <is>
          <t>4</t>
        </is>
      </c>
      <c r="I63" s="18" t="inlineStr">
        <is>
          <t>средняя оценка</t>
        </is>
      </c>
      <c r="J63" s="18" t="inlineStr">
        <is>
          <t>Оценки</t>
        </is>
      </c>
      <c r="K63" s="21" t="inlineStr"/>
      <c r="L63" s="21" t="inlineStr"/>
      <c r="M63" s="21" t="inlineStr"/>
      <c r="N63" s="21" t="inlineStr"/>
    </row>
    <row r="64">
      <c r="A64" s="18" t="inlineStr">
        <is>
          <t>9.3</t>
        </is>
      </c>
      <c r="B64" s="19" t="inlineStr">
        <is>
          <t>Взаимодействие</t>
        </is>
      </c>
      <c r="C64" s="18" t="inlineStr">
        <is>
          <t>Насколько удобно работать.</t>
        </is>
      </c>
      <c r="D64" s="18" t="inlineStr">
        <is>
          <t>Целое 1–5</t>
        </is>
      </c>
      <c r="E64" s="20" t="inlineStr">
        <is>
          <t>Да</t>
        </is>
      </c>
      <c r="F64" s="18" t="inlineStr">
        <is>
          <t>Модератор</t>
        </is>
      </c>
      <c r="G64" s="18" t="inlineStr">
        <is>
          <t>1–5</t>
        </is>
      </c>
      <c r="H64" s="18" t="inlineStr">
        <is>
          <t>5</t>
        </is>
      </c>
      <c r="I64" s="18" t="inlineStr">
        <is>
          <t>средняя оценка</t>
        </is>
      </c>
      <c r="J64" s="18" t="inlineStr">
        <is>
          <t>Оценки</t>
        </is>
      </c>
      <c r="K64" s="21" t="inlineStr"/>
      <c r="L64" s="21" t="inlineStr"/>
      <c r="M64" s="21" t="inlineStr"/>
      <c r="N64" s="21" t="inlineStr"/>
    </row>
    <row r="65">
      <c r="A65" s="18" t="inlineStr">
        <is>
          <t>9.4</t>
        </is>
      </c>
      <c r="B65" s="19" t="inlineStr">
        <is>
          <t>Проект</t>
        </is>
      </c>
      <c r="C65" s="18" t="inlineStr">
        <is>
          <t>По какой работе оценка.</t>
        </is>
      </c>
      <c r="D65" s="18" t="inlineStr">
        <is>
          <t>Текст до 300 знаков</t>
        </is>
      </c>
      <c r="E65" s="18" t="inlineStr">
        <is>
          <t>Нет</t>
        </is>
      </c>
      <c r="F65" s="18" t="inlineStr">
        <is>
          <t>Модератор</t>
        </is>
      </c>
      <c r="G65" s="18" t="inlineStr">
        <is>
          <t>Любой текст</t>
        </is>
      </c>
      <c r="H65" s="18" t="inlineStr">
        <is>
          <t>Пилот в ТЦСО «Ярославский»</t>
        </is>
      </c>
      <c r="I65" s="18" t="inlineStr">
        <is>
          <t>карточка</t>
        </is>
      </c>
      <c r="J65" s="18" t="inlineStr">
        <is>
          <t>Оценки</t>
        </is>
      </c>
      <c r="K65" s="21" t="inlineStr"/>
      <c r="L65" s="21" t="inlineStr"/>
      <c r="M65" s="21" t="inlineStr"/>
      <c r="N65" s="21" t="inlineStr"/>
    </row>
    <row r="66">
      <c r="A66" s="18" t="inlineStr">
        <is>
          <t>9.5</t>
        </is>
      </c>
      <c r="B66" s="19" t="inlineStr">
        <is>
          <t>Комментарий к оценке</t>
        </is>
      </c>
      <c r="C66" s="18" t="inlineStr">
        <is>
          <t>Что получилось, что нет.</t>
        </is>
      </c>
      <c r="D66" s="18" t="inlineStr">
        <is>
          <t>Текст до 2000 знаков</t>
        </is>
      </c>
      <c r="E66" s="18" t="inlineStr">
        <is>
          <t>Нет</t>
        </is>
      </c>
      <c r="F66" s="18" t="inlineStr">
        <is>
          <t>Модератор</t>
        </is>
      </c>
      <c r="G66" s="18" t="inlineStr">
        <is>
          <t>Любой текст</t>
        </is>
      </c>
      <c r="H66" s="18" t="inlineStr">
        <is>
          <t>Сдвинули срок на неделю</t>
        </is>
      </c>
      <c r="I66" s="18" t="inlineStr">
        <is>
          <t>карточка; представителю не виден</t>
        </is>
      </c>
      <c r="J66" s="18" t="inlineStr">
        <is>
          <t>Оценки</t>
        </is>
      </c>
      <c r="K66" s="21" t="inlineStr"/>
      <c r="L66" s="21" t="inlineStr"/>
      <c r="M66" s="21" t="inlineStr"/>
      <c r="N66" s="21" t="inlineStr"/>
    </row>
    <row r="67" ht="20" customHeight="1">
      <c r="A67" s="17" t="inlineStr">
        <is>
          <t>10. Доступ и представители</t>
        </is>
      </c>
    </row>
    <row r="68">
      <c r="A68" s="18" t="inlineStr">
        <is>
          <t>10.1</t>
        </is>
      </c>
      <c r="B68" s="19" t="inlineStr">
        <is>
          <t>Роль в каталоге</t>
        </is>
      </c>
      <c r="C68" s="18" t="inlineStr">
        <is>
          <t>Кем сотрудник работает с каталогом.</t>
        </is>
      </c>
      <c r="D68" s="18" t="inlineStr">
        <is>
          <t>Список</t>
        </is>
      </c>
      <c r="E68" s="20" t="inlineStr">
        <is>
          <t>Да</t>
        </is>
      </c>
      <c r="F68" s="18" t="inlineStr">
        <is>
          <t>Администратор каталога (представителя привязывает модератор)</t>
        </is>
      </c>
      <c r="G68" s="18" t="inlineStr">
        <is>
          <t>Пользователь каталога / Модератор каталога / Администратор каталога / Представитель разработчика</t>
        </is>
      </c>
      <c r="H68" s="18" t="inlineStr">
        <is>
          <t>Модератор каталога</t>
        </is>
      </c>
      <c r="I68" s="18" t="inlineStr">
        <is>
          <t>права, меню, сценарии обучения</t>
        </is>
      </c>
      <c r="J68" s="18" t="inlineStr">
        <is>
          <t>Доступ</t>
        </is>
      </c>
      <c r="K68" s="21" t="inlineStr"/>
      <c r="L68" s="21" t="inlineStr"/>
      <c r="M68" s="21" t="inlineStr"/>
      <c r="N68" s="21" t="inlineStr"/>
    </row>
    <row r="69">
      <c r="A69" s="18" t="inlineStr">
        <is>
          <t>10.2</t>
        </is>
      </c>
      <c r="B69" s="19" t="inlineStr">
        <is>
          <t>Представитель разработчика</t>
        </is>
      </c>
      <c r="C69" s="18" t="inlineStr">
        <is>
          <t>Учётная запись поставщика, привязанная к карточке своей компании.</t>
        </is>
      </c>
      <c r="D69" s="18" t="inlineStr">
        <is>
          <t>Сотрудник платформы</t>
        </is>
      </c>
      <c r="E69" s="18" t="inlineStr">
        <is>
          <t>Нет</t>
        </is>
      </c>
      <c r="F69" s="18" t="inlineStr">
        <is>
          <t>Модератор</t>
        </is>
      </c>
      <c r="G69" s="18" t="inlineStr">
        <is>
          <t>Обычно роль «Поставщик технологий и услуг»; видит только свою карточку</t>
        </is>
      </c>
      <c r="H69" s="18" t="inlineStr">
        <is>
          <t>vendor@cst.ru → АО «Зоркий Код»</t>
        </is>
      </c>
      <c r="I69" s="18" t="inlineStr">
        <is>
          <t>правка профиля с проверкой модератором</t>
        </is>
      </c>
      <c r="J69" s="18" t="inlineStr">
        <is>
          <t>Доступ</t>
        </is>
      </c>
      <c r="K69" s="21" t="inlineStr"/>
      <c r="L69" s="21" t="inlineStr"/>
      <c r="M69" s="21" t="inlineStr"/>
      <c r="N69" s="21" t="inlineStr"/>
    </row>
    <row r="70" ht="20" customHeight="1">
      <c r="A70" s="17" t="inlineStr">
        <is>
          <t>11. Системные атрибуты — заполняются автоматически</t>
        </is>
      </c>
    </row>
    <row r="71">
      <c r="A71" s="22" t="inlineStr">
        <is>
          <t>11.1</t>
        </is>
      </c>
      <c r="B71" s="23" t="inlineStr">
        <is>
          <t>Заполненность</t>
        </is>
      </c>
      <c r="C71" s="22" t="inlineStr">
        <is>
          <t>Доля ключевых сведений в карточке.</t>
        </is>
      </c>
      <c r="D71" s="22" t="inlineStr">
        <is>
          <t>Процент</t>
        </is>
      </c>
      <c r="E71" s="22" t="inlineStr">
        <is>
          <t>—</t>
        </is>
      </c>
      <c r="F71" s="22" t="inlineStr">
        <is>
          <t>Система</t>
        </is>
      </c>
      <c r="G71" s="22" t="inlineStr">
        <is>
          <t>Описание — 15%; Компетенции — 15%; Контактное лицо — 15%; Портфолио — 15%; Каталог решений — 10%; Соответствие требованиям — 10%; Реквизиты — 10%; Размер команды — 5%; Сайт — 5%</t>
        </is>
      </c>
      <c r="H71" s="22" t="inlineStr">
        <is>
          <t>75%</t>
        </is>
      </c>
      <c r="I71" s="22" t="inlineStr">
        <is>
          <t>сводка «Нужно дозаполнить» (&lt;60%), сортировка</t>
        </is>
      </c>
      <c r="J71" s="22" t="inlineStr">
        <is>
          <t>Портал</t>
        </is>
      </c>
      <c r="K71" s="21" t="inlineStr"/>
      <c r="L71" s="21" t="inlineStr"/>
      <c r="M71" s="21" t="inlineStr"/>
      <c r="N71" s="21" t="inlineStr"/>
    </row>
    <row r="72">
      <c r="A72" s="22" t="inlineStr">
        <is>
          <t>11.2</t>
        </is>
      </c>
      <c r="B72" s="23" t="inlineStr">
        <is>
          <t>Метка «сверить»</t>
        </is>
      </c>
      <c r="C72" s="22" t="inlineStr">
        <is>
          <t>Карточка не обновлялась дольше срока.</t>
        </is>
      </c>
      <c r="D72" s="22" t="inlineStr">
        <is>
          <t>Признак</t>
        </is>
      </c>
      <c r="E72" s="22" t="inlineStr">
        <is>
          <t>—</t>
        </is>
      </c>
      <c r="F72" s="22" t="inlineStr">
        <is>
          <t>Система</t>
        </is>
      </c>
      <c r="G72" s="22" t="inlineStr">
        <is>
          <t>180 дней без правок</t>
        </is>
      </c>
      <c r="H72" s="22" t="inlineStr">
        <is>
          <t>—</t>
        </is>
      </c>
      <c r="I72" s="22" t="inlineStr">
        <is>
          <t>фильтр «Требуют сверки»</t>
        </is>
      </c>
      <c r="J72" s="22" t="inlineStr">
        <is>
          <t>Портал</t>
        </is>
      </c>
      <c r="K72" s="21" t="inlineStr"/>
      <c r="L72" s="21" t="inlineStr"/>
      <c r="M72" s="21" t="inlineStr"/>
      <c r="N72" s="21" t="inlineStr"/>
    </row>
    <row r="73">
      <c r="A73" s="22" t="inlineStr">
        <is>
          <t>11.3</t>
        </is>
      </c>
      <c r="B73" s="23" t="inlineStr">
        <is>
          <t>Проверка профиля</t>
        </is>
      </c>
      <c r="C73" s="22" t="inlineStr">
        <is>
          <t>Правка представителя ждёт подтверждения модератором.</t>
        </is>
      </c>
      <c r="D73" s="22" t="inlineStr">
        <is>
          <t>Признак</t>
        </is>
      </c>
      <c r="E73" s="22" t="inlineStr">
        <is>
          <t>—</t>
        </is>
      </c>
      <c r="F73" s="22" t="inlineStr">
        <is>
          <t>Система</t>
        </is>
      </c>
      <c r="G73" s="22" t="inlineStr">
        <is>
          <t>Подтверждён / Ожидает проверки</t>
        </is>
      </c>
      <c r="H73" s="22" t="inlineStr">
        <is>
          <t>Ожидает проверки</t>
        </is>
      </c>
      <c r="I73" s="22" t="inlineStr">
        <is>
          <t>фильтр «Ожидают проверки», уведомление</t>
        </is>
      </c>
      <c r="J73" s="22" t="inlineStr">
        <is>
          <t>Портал</t>
        </is>
      </c>
      <c r="K73" s="21" t="inlineStr"/>
      <c r="L73" s="21" t="inlineStr"/>
      <c r="M73" s="21" t="inlineStr"/>
      <c r="N73" s="21" t="inlineStr"/>
    </row>
    <row r="74">
      <c r="A74" s="22" t="inlineStr">
        <is>
          <t>11.4</t>
        </is>
      </c>
      <c r="B74" s="23" t="inlineStr">
        <is>
          <t>Средняя оценка</t>
        </is>
      </c>
      <c r="C74" s="22" t="inlineStr">
        <is>
          <t>Среднее трёх критериев по всем оценкам.</t>
        </is>
      </c>
      <c r="D74" s="22" t="inlineStr">
        <is>
          <t>Число</t>
        </is>
      </c>
      <c r="E74" s="22" t="inlineStr">
        <is>
          <t>—</t>
        </is>
      </c>
      <c r="F74" s="22" t="inlineStr">
        <is>
          <t>Система</t>
        </is>
      </c>
      <c r="G74" s="22" t="inlineStr">
        <is>
          <t>1,0 — 5,0</t>
        </is>
      </c>
      <c r="H74" s="22" t="inlineStr">
        <is>
          <t>4,5</t>
        </is>
      </c>
      <c r="I74" s="22" t="inlineStr">
        <is>
          <t>сортировка, сравнение</t>
        </is>
      </c>
      <c r="J74" s="22" t="inlineStr">
        <is>
          <t>Портал</t>
        </is>
      </c>
      <c r="K74" s="21" t="inlineStr"/>
      <c r="L74" s="21" t="inlineStr"/>
      <c r="M74" s="21" t="inlineStr"/>
      <c r="N74" s="21" t="inlineStr"/>
    </row>
    <row r="75">
      <c r="A75" s="22" t="inlineStr">
        <is>
          <t>11.5</t>
        </is>
      </c>
      <c r="B75" s="23" t="inlineStr">
        <is>
          <t>Последний контакт</t>
        </is>
      </c>
      <c r="C75" s="22" t="inlineStr">
        <is>
          <t>Дата последней записи журнала.</t>
        </is>
      </c>
      <c r="D75" s="22" t="inlineStr">
        <is>
          <t>Дата</t>
        </is>
      </c>
      <c r="E75" s="22" t="inlineStr">
        <is>
          <t>—</t>
        </is>
      </c>
      <c r="F75" s="22" t="inlineStr">
        <is>
          <t>Система</t>
        </is>
      </c>
      <c r="G75" s="22" t="inlineStr">
        <is>
          <t>—</t>
        </is>
      </c>
      <c r="H75" s="22" t="inlineStr">
        <is>
          <t>15.09.2026</t>
        </is>
      </c>
      <c r="I75" s="22" t="inlineStr">
        <is>
          <t>карточка</t>
        </is>
      </c>
      <c r="J75" s="22" t="inlineStr">
        <is>
          <t>Портал</t>
        </is>
      </c>
      <c r="K75" s="21" t="inlineStr"/>
      <c r="L75" s="21" t="inlineStr"/>
      <c r="M75" s="21" t="inlineStr"/>
      <c r="N75" s="21" t="inlineStr"/>
    </row>
    <row r="76">
      <c r="A76" s="22" t="inlineStr">
        <is>
          <t>11.6</t>
        </is>
      </c>
      <c r="B76" s="23" t="inlineStr">
        <is>
          <t>Создан / обновлён, кем</t>
        </is>
      </c>
      <c r="C76" s="22" t="inlineStr">
        <is>
          <t>Кто и когда внёс и правил карточку.</t>
        </is>
      </c>
      <c r="D76" s="22" t="inlineStr">
        <is>
          <t>Дата и сотрудник</t>
        </is>
      </c>
      <c r="E76" s="22" t="inlineStr">
        <is>
          <t>—</t>
        </is>
      </c>
      <c r="F76" s="22" t="inlineStr">
        <is>
          <t>Система</t>
        </is>
      </c>
      <c r="G76" s="22" t="inlineStr">
        <is>
          <t>—</t>
        </is>
      </c>
      <c r="H76" s="22" t="inlineStr">
        <is>
          <t>—</t>
        </is>
      </c>
      <c r="I76" s="22" t="inlineStr">
        <is>
          <t>карточка, журнал аудита</t>
        </is>
      </c>
      <c r="J76" s="22" t="inlineStr">
        <is>
          <t>Портал</t>
        </is>
      </c>
      <c r="K76" s="21" t="inlineStr"/>
      <c r="L76" s="21" t="inlineStr"/>
      <c r="M76" s="21" t="inlineStr"/>
      <c r="N76" s="21" t="inlineStr"/>
    </row>
    <row r="77">
      <c r="A77" s="22" t="inlineStr">
        <is>
          <t>11.7</t>
        </is>
      </c>
      <c r="B77" s="23" t="inlineStr">
        <is>
          <t>Признак «демо»</t>
        </is>
      </c>
      <c r="C77" s="22" t="inlineStr">
        <is>
          <t>Вымышленная карточка для демонстрации.</t>
        </is>
      </c>
      <c r="D77" s="22" t="inlineStr">
        <is>
          <t>Признак</t>
        </is>
      </c>
      <c r="E77" s="22" t="inlineStr">
        <is>
          <t>—</t>
        </is>
      </c>
      <c r="F77" s="22" t="inlineStr">
        <is>
          <t>Система</t>
        </is>
      </c>
      <c r="G77" s="22" t="inlineStr">
        <is>
          <t>Удаляется отдельной командой</t>
        </is>
      </c>
      <c r="H77" s="22" t="inlineStr">
        <is>
          <t>—</t>
        </is>
      </c>
      <c r="I77" s="22" t="inlineStr">
        <is>
          <t>метка «демо»</t>
        </is>
      </c>
      <c r="J77" s="22" t="inlineStr">
        <is>
          <t>Портал</t>
        </is>
      </c>
      <c r="K77" s="21" t="inlineStr"/>
      <c r="L77" s="21" t="inlineStr"/>
      <c r="M77" s="21" t="inlineStr"/>
      <c r="N77" s="21" t="inlineStr"/>
    </row>
    <row r="79">
      <c r="A79" s="24" t="inlineStr">
        <is>
          <t>12. Предложения новых атрибутов и справочных значений</t>
        </is>
      </c>
    </row>
    <row r="80">
      <c r="A80" s="18" t="inlineStr">
        <is>
          <t>12.1</t>
        </is>
      </c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1" t="n"/>
      <c r="L80" s="21" t="n"/>
      <c r="M80" s="21" t="n"/>
      <c r="N80" s="21" t="n"/>
    </row>
    <row r="81">
      <c r="A81" s="18" t="inlineStr">
        <is>
          <t>12.2</t>
        </is>
      </c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1" t="n"/>
      <c r="L81" s="21" t="n"/>
      <c r="M81" s="21" t="n"/>
      <c r="N81" s="21" t="n"/>
    </row>
    <row r="82">
      <c r="A82" s="18" t="inlineStr">
        <is>
          <t>12.3</t>
        </is>
      </c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1" t="n"/>
      <c r="L82" s="21" t="n"/>
      <c r="M82" s="21" t="n"/>
      <c r="N82" s="21" t="n"/>
    </row>
    <row r="83">
      <c r="A83" s="18" t="inlineStr">
        <is>
          <t>12.4</t>
        </is>
      </c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1" t="n"/>
      <c r="L83" s="21" t="n"/>
      <c r="M83" s="21" t="n"/>
      <c r="N83" s="21" t="n"/>
    </row>
    <row r="84">
      <c r="A84" s="18" t="inlineStr">
        <is>
          <t>12.5</t>
        </is>
      </c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1" t="n"/>
      <c r="L84" s="21" t="n"/>
      <c r="M84" s="21" t="n"/>
      <c r="N84" s="21" t="n"/>
    </row>
    <row r="85">
      <c r="A85" s="18" t="inlineStr">
        <is>
          <t>12.6</t>
        </is>
      </c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1" t="n"/>
      <c r="L85" s="21" t="n"/>
      <c r="M85" s="21" t="n"/>
      <c r="N85" s="21" t="n"/>
    </row>
    <row r="86">
      <c r="A86" s="18" t="inlineStr">
        <is>
          <t>12.7</t>
        </is>
      </c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1" t="n"/>
      <c r="L86" s="21" t="n"/>
      <c r="M86" s="21" t="n"/>
      <c r="N86" s="21" t="n"/>
    </row>
    <row r="87">
      <c r="A87" s="18" t="inlineStr">
        <is>
          <t>12.8</t>
        </is>
      </c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1" t="n"/>
      <c r="L87" s="21" t="n"/>
      <c r="M87" s="21" t="n"/>
      <c r="N87" s="21" t="n"/>
    </row>
    <row r="88">
      <c r="A88" s="18" t="inlineStr">
        <is>
          <t>12.9</t>
        </is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1" t="n"/>
      <c r="L88" s="21" t="n"/>
      <c r="M88" s="21" t="n"/>
      <c r="N88" s="21" t="n"/>
    </row>
    <row r="89">
      <c r="A89" s="18" t="inlineStr">
        <is>
          <t>12.10</t>
        </is>
      </c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1" t="n"/>
      <c r="L89" s="21" t="n"/>
      <c r="M89" s="21" t="n"/>
      <c r="N89" s="21" t="n"/>
    </row>
    <row r="90">
      <c r="A90" s="18" t="inlineStr">
        <is>
          <t>12.11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1" t="n"/>
      <c r="L90" s="21" t="n"/>
      <c r="M90" s="21" t="n"/>
      <c r="N90" s="21" t="n"/>
    </row>
    <row r="91">
      <c r="A91" s="18" t="inlineStr">
        <is>
          <t>12.12</t>
        </is>
      </c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1" t="n"/>
      <c r="L91" s="21" t="n"/>
      <c r="M91" s="21" t="n"/>
      <c r="N91" s="21" t="n"/>
    </row>
    <row r="92">
      <c r="A92" s="18" t="inlineStr">
        <is>
          <t>12.13</t>
        </is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1" t="n"/>
      <c r="L92" s="21" t="n"/>
      <c r="M92" s="21" t="n"/>
      <c r="N92" s="21" t="n"/>
    </row>
    <row r="93">
      <c r="A93" s="18" t="inlineStr">
        <is>
          <t>12.14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1" t="n"/>
      <c r="L93" s="21" t="n"/>
      <c r="M93" s="21" t="n"/>
      <c r="N93" s="21" t="n"/>
    </row>
    <row r="94">
      <c r="A94" s="18" t="inlineStr">
        <is>
          <t>12.15</t>
        </is>
      </c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1" t="n"/>
      <c r="L94" s="21" t="n"/>
      <c r="M94" s="21" t="n"/>
      <c r="N94" s="21" t="n"/>
    </row>
  </sheetData>
  <autoFilter ref="A4:N94"/>
  <mergeCells count="16">
    <mergeCell ref="A70:N70"/>
    <mergeCell ref="A67:N67"/>
    <mergeCell ref="A79:N79"/>
    <mergeCell ref="A61:N61"/>
    <mergeCell ref="K3:N3"/>
    <mergeCell ref="A21:N21"/>
    <mergeCell ref="A2:N2"/>
    <mergeCell ref="A3:J3"/>
    <mergeCell ref="A15:N15"/>
    <mergeCell ref="A30:N30"/>
    <mergeCell ref="A25:N25"/>
    <mergeCell ref="A46:N46"/>
    <mergeCell ref="A57:N57"/>
    <mergeCell ref="A5:N5"/>
    <mergeCell ref="A37:N37"/>
    <mergeCell ref="A1:N1"/>
  </mergeCells>
  <dataValidations count="2">
    <dataValidation sqref="N5:N95" showDropDown="0" showInputMessage="0" showErrorMessage="0" allowBlank="1" type="list">
      <formula1>'Справочники'!$P$5:$P$8</formula1>
    </dataValidation>
    <dataValidation sqref="E80:E95" showDropDown="0" showInputMessage="0" showErrorMessage="0" allowBlank="1" type="list">
      <formula1>"Да,Нет"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26" t="inlineStr">
        <is>
          <t>Справочники каталога разработчиков ИИ-решений</t>
        </is>
      </c>
    </row>
    <row r="2">
      <c r="A2" s="27" t="inlineStr">
        <is>
          <t>Значения выгружены из кода портала. Предложения по изменению справочников — на листе «Атрибуты», группа 12 внизу листа.</t>
        </is>
      </c>
    </row>
    <row r="4" ht="32" customHeight="1">
      <c r="A4" s="28" t="inlineStr">
        <is>
          <t>Вид разработчика</t>
        </is>
      </c>
      <c r="B4" s="28" t="inlineStr">
        <is>
          <t>Статус</t>
        </is>
      </c>
      <c r="C4" s="28" t="inlineStr">
        <is>
          <t>Загрузка</t>
        </is>
      </c>
      <c r="D4" s="28" t="inlineStr">
        <is>
          <t>Уровень стоимости</t>
        </is>
      </c>
      <c r="E4" s="28" t="inlineStr">
        <is>
          <t>Компетенции в ИИ</t>
        </is>
      </c>
      <c r="F4" s="28" t="inlineStr">
        <is>
          <t>Отраслевой опыт</t>
        </is>
      </c>
      <c r="G4" s="28" t="inlineStr">
        <is>
          <t>Требования госсектора</t>
        </is>
      </c>
      <c r="H4" s="28" t="inlineStr">
        <is>
          <t>Тип решения</t>
        </is>
      </c>
      <c r="I4" s="28" t="inlineStr">
        <is>
          <t>Зрелость решения</t>
        </is>
      </c>
      <c r="J4" s="28" t="inlineStr">
        <is>
          <t>Лицензия</t>
        </is>
      </c>
      <c r="K4" s="28" t="inlineStr">
        <is>
          <t>Вид записи журнала</t>
        </is>
      </c>
      <c r="L4" s="28" t="inlineStr">
        <is>
          <t>Роль в каталоге</t>
        </is>
      </c>
      <c r="M4" s="28" t="inlineStr">
        <is>
          <t>Кто внёс</t>
        </is>
      </c>
      <c r="N4" s="28" t="inlineStr">
        <is>
          <t>Да / Нет</t>
        </is>
      </c>
      <c r="O4" s="28" t="inlineStr">
        <is>
          <t>Оценка</t>
        </is>
      </c>
      <c r="P4" s="28" t="inlineStr">
        <is>
          <t>Статус обсуждения</t>
        </is>
      </c>
    </row>
    <row r="5">
      <c r="A5" s="18" t="inlineStr">
        <is>
          <t>Внешний вендор</t>
        </is>
      </c>
      <c r="B5" s="18" t="inlineStr">
        <is>
          <t>Новый</t>
        </is>
      </c>
      <c r="C5" s="18" t="inlineStr">
        <is>
          <t>Свободен</t>
        </is>
      </c>
      <c r="D5" s="18" t="inlineStr">
        <is>
          <t>1 — бюджетный</t>
        </is>
      </c>
      <c r="E5" s="18" t="inlineStr">
        <is>
          <t>Языковые модели и ассистенты</t>
        </is>
      </c>
      <c r="F5" s="18" t="inlineStr">
        <is>
          <t>Социальная защита</t>
        </is>
      </c>
      <c r="G5" s="18" t="inlineStr">
        <is>
          <t>ПО в реестре отечественного ПО</t>
        </is>
      </c>
      <c r="H5" s="18" t="inlineStr">
        <is>
          <t>Готовый продукт</t>
        </is>
      </c>
      <c r="I5" s="18" t="inlineStr">
        <is>
          <t>Прототип</t>
        </is>
      </c>
      <c r="J5" s="18" t="inlineStr">
        <is>
          <t>Проприетарная</t>
        </is>
      </c>
      <c r="K5" s="18" t="inlineStr">
        <is>
          <t>Встреча</t>
        </is>
      </c>
      <c r="L5" s="18" t="inlineStr">
        <is>
          <t>Пользователь каталога</t>
        </is>
      </c>
      <c r="M5" s="18" t="inlineStr">
        <is>
          <t>Модератор</t>
        </is>
      </c>
      <c r="N5" s="18" t="inlineStr">
        <is>
          <t>Да</t>
        </is>
      </c>
      <c r="O5" s="18" t="inlineStr">
        <is>
          <t>1</t>
        </is>
      </c>
      <c r="P5" s="18" t="inlineStr">
        <is>
          <t>Открыт</t>
        </is>
      </c>
    </row>
    <row r="6">
      <c r="A6" s="18" t="inlineStr">
        <is>
          <t>Внутренняя команда</t>
        </is>
      </c>
      <c r="B6" s="18" t="inlineStr">
        <is>
          <t>На проверке</t>
        </is>
      </c>
      <c r="C6" s="18" t="inlineStr">
        <is>
          <t>Загружен частично</t>
        </is>
      </c>
      <c r="D6" s="18" t="inlineStr">
        <is>
          <t>2 — средний</t>
        </is>
      </c>
      <c r="E6" s="18" t="inlineStr">
        <is>
          <t>Поиск по документам (RAG)</t>
        </is>
      </c>
      <c r="F6" s="18" t="inlineStr">
        <is>
          <t>Госуправление и госуслуги</t>
        </is>
      </c>
      <c r="G6" s="18" t="inlineStr">
        <is>
          <t>Работа с персональными данными (152-ФЗ)</t>
        </is>
      </c>
      <c r="H6" s="18" t="inlineStr">
        <is>
          <t>Платформа</t>
        </is>
      </c>
      <c r="I6" s="18" t="inlineStr">
        <is>
          <t>Пилотное внедрение</t>
        </is>
      </c>
      <c r="J6" s="18" t="inlineStr">
        <is>
          <t>Открытый код</t>
        </is>
      </c>
      <c r="K6" s="18" t="inlineStr">
        <is>
          <t>Звонок</t>
        </is>
      </c>
      <c r="L6" s="18" t="inlineStr">
        <is>
          <t>Модератор каталога</t>
        </is>
      </c>
      <c r="M6" s="18" t="inlineStr">
        <is>
          <t>Представитель разработчика</t>
        </is>
      </c>
      <c r="N6" s="18" t="inlineStr">
        <is>
          <t>Нет</t>
        </is>
      </c>
      <c r="O6" s="18" t="inlineStr">
        <is>
          <t>2</t>
        </is>
      </c>
      <c r="P6" s="18" t="inlineStr">
        <is>
          <t>Принят</t>
        </is>
      </c>
    </row>
    <row r="7">
      <c r="A7" s="18" t="inlineStr">
        <is>
          <t>Команда ДИТ</t>
        </is>
      </c>
      <c r="B7" s="18" t="inlineStr">
        <is>
          <t>Квалифицирован</t>
        </is>
      </c>
      <c r="C7" s="18" t="inlineStr">
        <is>
          <t>Загружен полностью</t>
        </is>
      </c>
      <c r="D7" s="18" t="inlineStr">
        <is>
          <t>3 — высокий</t>
        </is>
      </c>
      <c r="E7" s="18" t="inlineStr">
        <is>
          <t>Обработка текстов</t>
        </is>
      </c>
      <c r="F7" s="18" t="inlineStr">
        <is>
          <t>Здравоохранение</t>
        </is>
      </c>
      <c r="G7" s="18" t="inlineStr">
        <is>
          <t>Лицензии ФСТЭК, аттестованные решения</t>
        </is>
      </c>
      <c r="H7" s="18" t="inlineStr">
        <is>
          <t>Модель или API</t>
        </is>
      </c>
      <c r="I7" s="18" t="inlineStr">
        <is>
          <t>Промышленная эксплуатация</t>
        </is>
      </c>
      <c r="J7" s="18" t="inlineStr">
        <is>
          <t>Облачный сервис (SaaS)</t>
        </is>
      </c>
      <c r="K7" s="18" t="inlineStr">
        <is>
          <t>Письмо</t>
        </is>
      </c>
      <c r="L7" s="18" t="inlineStr">
        <is>
          <t>Администратор каталога</t>
        </is>
      </c>
      <c r="O7" s="18" t="inlineStr">
        <is>
          <t>3</t>
        </is>
      </c>
      <c r="P7" s="18" t="inlineStr">
        <is>
          <t>Отклонён</t>
        </is>
      </c>
    </row>
    <row r="8">
      <c r="B8" s="18" t="inlineStr">
        <is>
          <t>Привлечён к работе</t>
        </is>
      </c>
      <c r="C8" s="18" t="inlineStr">
        <is>
          <t>Нет данных</t>
        </is>
      </c>
      <c r="E8" s="18" t="inlineStr">
        <is>
          <t>Распознавание и синтез речи</t>
        </is>
      </c>
      <c r="F8" s="18" t="inlineStr">
        <is>
          <t>Образование</t>
        </is>
      </c>
      <c r="G8" s="18" t="inlineStr">
        <is>
          <t>Развёртывание в закрытом контуре</t>
        </is>
      </c>
      <c r="H8" s="18" t="inlineStr">
        <is>
          <t>Заказная разработка</t>
        </is>
      </c>
      <c r="K8" s="18" t="inlineStr">
        <is>
          <t>Запрос информации</t>
        </is>
      </c>
      <c r="L8" s="18" t="inlineStr">
        <is>
          <t>Представитель разработчика</t>
        </is>
      </c>
      <c r="O8" s="18" t="inlineStr">
        <is>
          <t>4</t>
        </is>
      </c>
      <c r="P8" s="18" t="inlineStr">
        <is>
          <t>Требует обсуждения</t>
        </is>
      </c>
    </row>
    <row r="9">
      <c r="B9" s="18" t="inlineStr">
        <is>
          <t>Не рекомендован</t>
        </is>
      </c>
      <c r="E9" s="18" t="inlineStr">
        <is>
          <t>Компьютерное зрение</t>
        </is>
      </c>
      <c r="F9" s="18" t="inlineStr">
        <is>
          <t>Занятость и кадры</t>
        </is>
      </c>
      <c r="G9" s="18" t="inlineStr">
        <is>
          <t>Опыт госзаказа (44-ФЗ, 223-ФЗ)</t>
        </is>
      </c>
      <c r="H9" s="18" t="inlineStr">
        <is>
          <t>Технология, методика</t>
        </is>
      </c>
      <c r="K9" s="18" t="inlineStr">
        <is>
          <t>Демонстрация</t>
        </is>
      </c>
      <c r="O9" s="18" t="inlineStr">
        <is>
          <t>5</t>
        </is>
      </c>
    </row>
    <row r="10">
      <c r="B10" s="18" t="inlineStr">
        <is>
          <t>Архив</t>
        </is>
      </c>
      <c r="E10" s="18" t="inlineStr">
        <is>
          <t>Распознавание документов</t>
        </is>
      </c>
      <c r="F10" s="18" t="inlineStr">
        <is>
          <t>Финансы</t>
        </is>
      </c>
      <c r="G10" s="18" t="inlineStr">
        <is>
          <t>Субъект МСП</t>
        </is>
      </c>
      <c r="K10" s="18" t="inlineStr">
        <is>
          <t>Заметка</t>
        </is>
      </c>
    </row>
    <row r="11">
      <c r="E11" s="18" t="inlineStr">
        <is>
          <t>Прогнозная аналитика</t>
        </is>
      </c>
      <c r="F11" s="18" t="inlineStr">
        <is>
          <t>Городское хозяйство</t>
        </is>
      </c>
    </row>
    <row r="12">
      <c r="E12" s="18" t="inlineStr">
        <is>
          <t>Рекомендательные системы</t>
        </is>
      </c>
    </row>
    <row r="13">
      <c r="E13" s="18" t="inlineStr">
        <is>
          <t>Чат-боты и голосовые помощники</t>
        </is>
      </c>
    </row>
    <row r="14">
      <c r="E14" s="18" t="inlineStr">
        <is>
          <t>Роботизация процессов (RPA)</t>
        </is>
      </c>
    </row>
    <row r="15">
      <c r="E15" s="18" t="inlineStr">
        <is>
          <t>Инженерия данных</t>
        </is>
      </c>
    </row>
    <row r="16">
      <c r="E16" s="18" t="inlineStr">
        <is>
          <t>MLOps и инфраструктура 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4" customWidth="1" min="4" max="4"/>
    <col width="28" customWidth="1" min="5" max="5"/>
    <col width="14" customWidth="1" min="6" max="6"/>
    <col width="22" customWidth="1" min="7" max="7"/>
    <col width="10" customWidth="1" min="8" max="8"/>
    <col width="10" customWidth="1" min="9" max="9"/>
    <col width="22" customWidth="1" min="10" max="10"/>
    <col width="20" customWidth="1" min="11" max="11"/>
    <col width="24" customWidth="1" min="12" max="12"/>
    <col width="16" customWidth="1" min="13" max="13"/>
    <col width="22" customWidth="1" min="14" max="14"/>
    <col width="18" customWidth="1" min="15" max="15"/>
    <col width="18" customWidth="1" min="16" max="16"/>
    <col width="16" customWidth="1" min="17" max="17"/>
    <col width="40" customWidth="1" min="18" max="18"/>
    <col width="30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1" customWidth="1" min="45" max="45"/>
    <col width="10" customWidth="1" min="46" max="46"/>
    <col width="12" customWidth="1" min="47" max="47"/>
    <col width="36" customWidth="1" min="48" max="48"/>
    <col width="18" customWidth="1" min="49" max="49"/>
  </cols>
  <sheetData>
    <row r="1" ht="26" customHeight="1">
      <c r="A1" s="29" t="inlineStr">
        <is>
          <t>Разработчики ИИ-решений — карточка</t>
        </is>
      </c>
    </row>
    <row r="2" ht="30" customHeight="1">
      <c r="A2" s="12" t="inlineStr">
        <is>
          <t>Одна строка — один разработчик. Жёлтые ячейки заполняются, серые считаются сами, зелёные — для комментариев. * — обязательно. Наведите на заголовок колонки, чтобы увидеть пояснение. Строка 5 — пример.</t>
        </is>
      </c>
    </row>
    <row r="3" ht="22" customHeight="1">
      <c r="A3" s="28" t="inlineStr">
        <is>
          <t>1. Идентификация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28" t="inlineStr">
        <is>
          <t>2. Контакты и ответственность</t>
        </is>
      </c>
      <c r="K3" s="30" t="n"/>
      <c r="L3" s="30" t="n"/>
      <c r="M3" s="30" t="n"/>
      <c r="N3" s="30" t="n"/>
      <c r="O3" s="28" t="inlineStr">
        <is>
          <t>3. Статус отбора и условия</t>
        </is>
      </c>
      <c r="P3" s="30" t="n"/>
      <c r="Q3" s="30" t="n"/>
      <c r="R3" s="28" t="inlineStr">
        <is>
          <t>4. Технологический профиль</t>
        </is>
      </c>
      <c r="S3" s="30" t="n"/>
      <c r="T3" s="28" t="inlineStr">
        <is>
          <t>5. Компетенции в ИИ — отметьте «Да»</t>
        </is>
      </c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28" t="inlineStr">
        <is>
          <t>6. Отраслевой опыт — отметьте «Да»</t>
        </is>
      </c>
      <c r="AG3" s="30" t="n"/>
      <c r="AH3" s="30" t="n"/>
      <c r="AI3" s="30" t="n"/>
      <c r="AJ3" s="30" t="n"/>
      <c r="AK3" s="30" t="n"/>
      <c r="AL3" s="30" t="n"/>
      <c r="AM3" s="28" t="inlineStr">
        <is>
          <t>7. Соответствие требованиям госсектора — «Да», если подтверждено</t>
        </is>
      </c>
      <c r="AN3" s="30" t="n"/>
      <c r="AO3" s="30" t="n"/>
      <c r="AP3" s="30" t="n"/>
      <c r="AQ3" s="30" t="n"/>
      <c r="AR3" s="30" t="n"/>
      <c r="AS3" s="28" t="inlineStr">
        <is>
          <t>8. Расчёт (не заполнять)</t>
        </is>
      </c>
      <c r="AT3" s="30" t="n"/>
      <c r="AU3" s="30" t="n"/>
      <c r="AV3" s="28" t="inlineStr">
        <is>
          <t>9. Обсуждение</t>
        </is>
      </c>
      <c r="AW3" s="30" t="n"/>
    </row>
    <row r="4" ht="58" customHeight="1">
      <c r="A4" s="15" t="inlineStr">
        <is>
          <t>Вид разработчика *</t>
        </is>
      </c>
      <c r="B4" s="15" t="inlineStr">
        <is>
          <t>Название *</t>
        </is>
      </c>
      <c r="C4" s="15" t="inlineStr">
        <is>
          <t>Полное наименование юрлица</t>
        </is>
      </c>
      <c r="D4" s="15" t="inlineStr">
        <is>
          <t>ИНН</t>
        </is>
      </c>
      <c r="E4" s="15" t="inlineStr">
        <is>
          <t>Подразделение</t>
        </is>
      </c>
      <c r="F4" s="15" t="inlineStr">
        <is>
          <t>Город</t>
        </is>
      </c>
      <c r="G4" s="15" t="inlineStr">
        <is>
          <t>Сайт</t>
        </is>
      </c>
      <c r="H4" s="15" t="inlineStr">
        <is>
          <t>Год основания</t>
        </is>
      </c>
      <c r="I4" s="15" t="inlineStr">
        <is>
          <t>Размер команды, чел.</t>
        </is>
      </c>
      <c r="J4" s="15" t="inlineStr">
        <is>
          <t>Контактное лицо</t>
        </is>
      </c>
      <c r="K4" s="15" t="inlineStr">
        <is>
          <t>Должность контакта</t>
        </is>
      </c>
      <c r="L4" s="15" t="inlineStr">
        <is>
          <t>Эл. почта контакта</t>
        </is>
      </c>
      <c r="M4" s="15" t="inlineStr">
        <is>
          <t>Телефон контакта</t>
        </is>
      </c>
      <c r="N4" s="15" t="inlineStr">
        <is>
          <t>Ведёт контакт (сотрудник ДТСЗН)</t>
        </is>
      </c>
      <c r="O4" s="15" t="inlineStr">
        <is>
          <t>Статус *</t>
        </is>
      </c>
      <c r="P4" s="15" t="inlineStr">
        <is>
          <t>Загрузка</t>
        </is>
      </c>
      <c r="Q4" s="15" t="inlineStr">
        <is>
          <t>Уровень стоимости</t>
        </is>
      </c>
      <c r="R4" s="15" t="inlineStr">
        <is>
          <t>Описание</t>
        </is>
      </c>
      <c r="S4" s="15" t="inlineStr">
        <is>
          <t>Технологии и инструменты</t>
        </is>
      </c>
      <c r="T4" s="15" t="inlineStr">
        <is>
          <t>Языковые модели и ассистенты</t>
        </is>
      </c>
      <c r="U4" s="15" t="inlineStr">
        <is>
          <t>Поиск по документам (RAG)</t>
        </is>
      </c>
      <c r="V4" s="15" t="inlineStr">
        <is>
          <t>Обработка текстов</t>
        </is>
      </c>
      <c r="W4" s="15" t="inlineStr">
        <is>
          <t>Распознавание и синтез речи</t>
        </is>
      </c>
      <c r="X4" s="15" t="inlineStr">
        <is>
          <t>Компьютерное зрение</t>
        </is>
      </c>
      <c r="Y4" s="15" t="inlineStr">
        <is>
          <t>Распознавание документов</t>
        </is>
      </c>
      <c r="Z4" s="15" t="inlineStr">
        <is>
          <t>Прогнозная аналитика</t>
        </is>
      </c>
      <c r="AA4" s="15" t="inlineStr">
        <is>
          <t>Рекомендательные системы</t>
        </is>
      </c>
      <c r="AB4" s="15" t="inlineStr">
        <is>
          <t>Чат-боты и голосовые помощники</t>
        </is>
      </c>
      <c r="AC4" s="15" t="inlineStr">
        <is>
          <t>Роботизация процессов (RPA)</t>
        </is>
      </c>
      <c r="AD4" s="15" t="inlineStr">
        <is>
          <t>Инженерия данных</t>
        </is>
      </c>
      <c r="AE4" s="15" t="inlineStr">
        <is>
          <t>MLOps и инфраструктура ИИ</t>
        </is>
      </c>
      <c r="AF4" s="15" t="inlineStr">
        <is>
          <t>Социальная защита</t>
        </is>
      </c>
      <c r="AG4" s="15" t="inlineStr">
        <is>
          <t>Госуправление и госуслуги</t>
        </is>
      </c>
      <c r="AH4" s="15" t="inlineStr">
        <is>
          <t>Здравоохранение</t>
        </is>
      </c>
      <c r="AI4" s="15" t="inlineStr">
        <is>
          <t>Образование</t>
        </is>
      </c>
      <c r="AJ4" s="15" t="inlineStr">
        <is>
          <t>Занятость и кадры</t>
        </is>
      </c>
      <c r="AK4" s="15" t="inlineStr">
        <is>
          <t>Финансы</t>
        </is>
      </c>
      <c r="AL4" s="15" t="inlineStr">
        <is>
          <t>Городское хозяйство</t>
        </is>
      </c>
      <c r="AM4" s="15" t="inlineStr">
        <is>
          <t>ПО в реестре отечественного ПО</t>
        </is>
      </c>
      <c r="AN4" s="15" t="inlineStr">
        <is>
          <t>Работа с персональными данными (152-ФЗ)</t>
        </is>
      </c>
      <c r="AO4" s="15" t="inlineStr">
        <is>
          <t>Лицензии ФСТЭК, аттестованные решения</t>
        </is>
      </c>
      <c r="AP4" s="15" t="inlineStr">
        <is>
          <t>Развёртывание в закрытом контуре</t>
        </is>
      </c>
      <c r="AQ4" s="15" t="inlineStr">
        <is>
          <t>Опыт госзаказа (44-ФЗ, 223-ФЗ)</t>
        </is>
      </c>
      <c r="AR4" s="15" t="inlineStr">
        <is>
          <t>Субъект МСП</t>
        </is>
      </c>
      <c r="AS4" s="31" t="inlineStr">
        <is>
          <t>Проектов в портфолио</t>
        </is>
      </c>
      <c r="AT4" s="31" t="inlineStr">
        <is>
          <t>Решений</t>
        </is>
      </c>
      <c r="AU4" s="31" t="inlineStr">
        <is>
          <t>Заполненность</t>
        </is>
      </c>
      <c r="AV4" s="16" t="inlineStr">
        <is>
          <t>Комментарий</t>
        </is>
      </c>
      <c r="AW4" s="16" t="inlineStr">
        <is>
          <t>Автор комментария</t>
        </is>
      </c>
    </row>
    <row r="5" ht="45" customHeight="1">
      <c r="A5" s="32" t="inlineStr">
        <is>
          <t>Внешний вендор</t>
        </is>
      </c>
      <c r="B5" s="32" t="inlineStr">
        <is>
          <t>ООО «Нейросоциум» (пример)</t>
        </is>
      </c>
      <c r="C5" s="32" t="inlineStr">
        <is>
          <t>Общество с ограниченной ответственностью «Нейросоциум»</t>
        </is>
      </c>
      <c r="D5" s="33" t="inlineStr">
        <is>
          <t>7700000011</t>
        </is>
      </c>
      <c r="E5" s="32" t="inlineStr"/>
      <c r="F5" s="32" t="inlineStr">
        <is>
          <t>Москва</t>
        </is>
      </c>
      <c r="G5" s="32" t="inlineStr">
        <is>
          <t>https://neurosocium.example</t>
        </is>
      </c>
      <c r="H5" s="32" t="n">
        <v>2016</v>
      </c>
      <c r="I5" s="32" t="n">
        <v>60</v>
      </c>
      <c r="J5" s="32" t="inlineStr">
        <is>
          <t>Орлова Мария Сергеевна</t>
        </is>
      </c>
      <c r="K5" s="32" t="inlineStr">
        <is>
          <t>Директор по работе с госсектором</t>
        </is>
      </c>
      <c r="L5" s="32" t="inlineStr">
        <is>
          <t>m.orlova@neurosocium.example</t>
        </is>
      </c>
      <c r="M5" s="32" t="inlineStr">
        <is>
          <t>+7 495 000-11-01</t>
        </is>
      </c>
      <c r="N5" s="32" t="inlineStr">
        <is>
          <t>Ковалёв А. В.</t>
        </is>
      </c>
      <c r="O5" s="32" t="inlineStr">
        <is>
          <t>Привлечён к работе</t>
        </is>
      </c>
      <c r="P5" s="32" t="inlineStr">
        <is>
          <t>Загружен частично</t>
        </is>
      </c>
      <c r="Q5" s="32" t="inlineStr">
        <is>
          <t>2 — средний</t>
        </is>
      </c>
      <c r="R5" s="32" t="inlineStr">
        <is>
          <t>Виртуальные консультанты и поиск по нормативной базе для органов соцзащиты.</t>
        </is>
      </c>
      <c r="S5" s="32" t="inlineStr">
        <is>
          <t>Python, GigaChat, YandexGPT</t>
        </is>
      </c>
      <c r="T5" s="32" t="inlineStr">
        <is>
          <t>Да</t>
        </is>
      </c>
      <c r="U5" s="32" t="inlineStr">
        <is>
          <t>Да</t>
        </is>
      </c>
      <c r="V5" s="32" t="inlineStr">
        <is>
          <t>Да</t>
        </is>
      </c>
      <c r="W5" s="32" t="inlineStr"/>
      <c r="X5" s="32" t="inlineStr"/>
      <c r="Y5" s="32" t="inlineStr"/>
      <c r="Z5" s="32" t="inlineStr"/>
      <c r="AA5" s="32" t="inlineStr"/>
      <c r="AB5" s="32" t="inlineStr">
        <is>
          <t>Да</t>
        </is>
      </c>
      <c r="AC5" s="32" t="inlineStr"/>
      <c r="AD5" s="32" t="inlineStr"/>
      <c r="AE5" s="32" t="inlineStr"/>
      <c r="AF5" s="32" t="inlineStr">
        <is>
          <t>Да</t>
        </is>
      </c>
      <c r="AG5" s="32" t="inlineStr">
        <is>
          <t>Да</t>
        </is>
      </c>
      <c r="AH5" s="32" t="inlineStr"/>
      <c r="AI5" s="32" t="inlineStr"/>
      <c r="AJ5" s="32" t="inlineStr"/>
      <c r="AK5" s="32" t="inlineStr"/>
      <c r="AL5" s="32" t="inlineStr"/>
      <c r="AM5" s="32" t="inlineStr">
        <is>
          <t>Да</t>
        </is>
      </c>
      <c r="AN5" s="32" t="inlineStr">
        <is>
          <t>Да</t>
        </is>
      </c>
      <c r="AO5" s="32" t="inlineStr"/>
      <c r="AP5" s="32" t="inlineStr">
        <is>
          <t>Да</t>
        </is>
      </c>
      <c r="AQ5" s="32" t="inlineStr">
        <is>
          <t>Да</t>
        </is>
      </c>
      <c r="AR5" s="32" t="inlineStr">
        <is>
          <t>Да</t>
        </is>
      </c>
      <c r="AS5" s="32">
        <f>IF($B5="","",COUNTIF('Портфолио'!$A$5:$A$205,$B5))</f>
        <v/>
      </c>
      <c r="AT5" s="32">
        <f>IF($B5="","",COUNTIF('Решения'!$A$5:$A$205,$B5))</f>
        <v/>
      </c>
      <c r="AU5" s="34">
        <f>IF($B5="","",(15*(R5&lt;&gt;"")+15*(COUNTIF(T5:AE5,"Да")&gt;0)+15*AND(J5&lt;&gt;"",OR(L5&lt;&gt;"",M5&lt;&gt;""))+15*(AS5&gt;0)+10*(AT5&gt;0)+10*(COUNTIF(AM5:AR5,"Да")&gt;0)+10*IF(A5="Внешний вендор",D5&lt;&gt;"",E5&lt;&gt;"")+5*(I5&lt;&gt;"")+5*IF(A5="Внешний вендор",G5&lt;&gt;"",TRUE))/100)</f>
        <v/>
      </c>
      <c r="AV5" s="32" t="inlineStr">
        <is>
          <t>Пример строки — удалите или замените своими данными</t>
        </is>
      </c>
      <c r="AW5" s="32" t="inlineStr">
        <is>
          <t>Составитель формы</t>
        </is>
      </c>
    </row>
    <row r="6">
      <c r="A6" s="25" t="n"/>
      <c r="B6" s="25" t="n"/>
      <c r="C6" s="25" t="n"/>
      <c r="D6" s="3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2">
        <f>IF($B6="","",COUNTIF('Портфолио'!$A$5:$A$205,$B6))</f>
        <v/>
      </c>
      <c r="AT6" s="22">
        <f>IF($B6="","",COUNTIF('Решения'!$A$5:$A$205,$B6))</f>
        <v/>
      </c>
      <c r="AU6" s="36">
        <f>IF($B6="","",(15*(R6&lt;&gt;"")+15*(COUNTIF(T6:AE6,"Да")&gt;0)+15*AND(J6&lt;&gt;"",OR(L6&lt;&gt;"",M6&lt;&gt;""))+15*(AS6&gt;0)+10*(AT6&gt;0)+10*(COUNTIF(AM6:AR6,"Да")&gt;0)+10*IF(A6="Внешний вендор",D6&lt;&gt;"",E6&lt;&gt;"")+5*(I6&lt;&gt;"")+5*IF(A6="Внешний вендор",G6&lt;&gt;"",TRUE))/100)</f>
        <v/>
      </c>
      <c r="AV6" s="21" t="n"/>
      <c r="AW6" s="21" t="n"/>
    </row>
    <row r="7">
      <c r="A7" s="25" t="n"/>
      <c r="B7" s="25" t="n"/>
      <c r="C7" s="25" t="n"/>
      <c r="D7" s="3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2">
        <f>IF($B7="","",COUNTIF('Портфолио'!$A$5:$A$205,$B7))</f>
        <v/>
      </c>
      <c r="AT7" s="22">
        <f>IF($B7="","",COUNTIF('Решения'!$A$5:$A$205,$B7))</f>
        <v/>
      </c>
      <c r="AU7" s="36">
        <f>IF($B7="","",(15*(R7&lt;&gt;"")+15*(COUNTIF(T7:AE7,"Да")&gt;0)+15*AND(J7&lt;&gt;"",OR(L7&lt;&gt;"",M7&lt;&gt;""))+15*(AS7&gt;0)+10*(AT7&gt;0)+10*(COUNTIF(AM7:AR7,"Да")&gt;0)+10*IF(A7="Внешний вендор",D7&lt;&gt;"",E7&lt;&gt;"")+5*(I7&lt;&gt;"")+5*IF(A7="Внешний вендор",G7&lt;&gt;"",TRUE))/100)</f>
        <v/>
      </c>
      <c r="AV7" s="21" t="n"/>
      <c r="AW7" s="21" t="n"/>
    </row>
    <row r="8">
      <c r="A8" s="25" t="n"/>
      <c r="B8" s="25" t="n"/>
      <c r="C8" s="25" t="n"/>
      <c r="D8" s="3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2">
        <f>IF($B8="","",COUNTIF('Портфолио'!$A$5:$A$205,$B8))</f>
        <v/>
      </c>
      <c r="AT8" s="22">
        <f>IF($B8="","",COUNTIF('Решения'!$A$5:$A$205,$B8))</f>
        <v/>
      </c>
      <c r="AU8" s="36">
        <f>IF($B8="","",(15*(R8&lt;&gt;"")+15*(COUNTIF(T8:AE8,"Да")&gt;0)+15*AND(J8&lt;&gt;"",OR(L8&lt;&gt;"",M8&lt;&gt;""))+15*(AS8&gt;0)+10*(AT8&gt;0)+10*(COUNTIF(AM8:AR8,"Да")&gt;0)+10*IF(A8="Внешний вендор",D8&lt;&gt;"",E8&lt;&gt;"")+5*(I8&lt;&gt;"")+5*IF(A8="Внешний вендор",G8&lt;&gt;"",TRUE))/100)</f>
        <v/>
      </c>
      <c r="AV8" s="21" t="n"/>
      <c r="AW8" s="21" t="n"/>
    </row>
    <row r="9">
      <c r="A9" s="25" t="n"/>
      <c r="B9" s="25" t="n"/>
      <c r="C9" s="25" t="n"/>
      <c r="D9" s="3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2">
        <f>IF($B9="","",COUNTIF('Портфолио'!$A$5:$A$205,$B9))</f>
        <v/>
      </c>
      <c r="AT9" s="22">
        <f>IF($B9="","",COUNTIF('Решения'!$A$5:$A$205,$B9))</f>
        <v/>
      </c>
      <c r="AU9" s="36">
        <f>IF($B9="","",(15*(R9&lt;&gt;"")+15*(COUNTIF(T9:AE9,"Да")&gt;0)+15*AND(J9&lt;&gt;"",OR(L9&lt;&gt;"",M9&lt;&gt;""))+15*(AS9&gt;0)+10*(AT9&gt;0)+10*(COUNTIF(AM9:AR9,"Да")&gt;0)+10*IF(A9="Внешний вендор",D9&lt;&gt;"",E9&lt;&gt;"")+5*(I9&lt;&gt;"")+5*IF(A9="Внешний вендор",G9&lt;&gt;"",TRUE))/100)</f>
        <v/>
      </c>
      <c r="AV9" s="21" t="n"/>
      <c r="AW9" s="21" t="n"/>
    </row>
    <row r="10">
      <c r="A10" s="25" t="n"/>
      <c r="B10" s="25" t="n"/>
      <c r="C10" s="25" t="n"/>
      <c r="D10" s="3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2">
        <f>IF($B10="","",COUNTIF('Портфолио'!$A$5:$A$205,$B10))</f>
        <v/>
      </c>
      <c r="AT10" s="22">
        <f>IF($B10="","",COUNTIF('Решения'!$A$5:$A$205,$B10))</f>
        <v/>
      </c>
      <c r="AU10" s="36">
        <f>IF($B10="","",(15*(R10&lt;&gt;"")+15*(COUNTIF(T10:AE10,"Да")&gt;0)+15*AND(J10&lt;&gt;"",OR(L10&lt;&gt;"",M10&lt;&gt;""))+15*(AS10&gt;0)+10*(AT10&gt;0)+10*(COUNTIF(AM10:AR10,"Да")&gt;0)+10*IF(A10="Внешний вендор",D10&lt;&gt;"",E10&lt;&gt;"")+5*(I10&lt;&gt;"")+5*IF(A10="Внешний вендор",G10&lt;&gt;"",TRUE))/100)</f>
        <v/>
      </c>
      <c r="AV10" s="21" t="n"/>
      <c r="AW10" s="21" t="n"/>
    </row>
    <row r="11">
      <c r="A11" s="25" t="n"/>
      <c r="B11" s="25" t="n"/>
      <c r="C11" s="25" t="n"/>
      <c r="D11" s="3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2">
        <f>IF($B11="","",COUNTIF('Портфолио'!$A$5:$A$205,$B11))</f>
        <v/>
      </c>
      <c r="AT11" s="22">
        <f>IF($B11="","",COUNTIF('Решения'!$A$5:$A$205,$B11))</f>
        <v/>
      </c>
      <c r="AU11" s="36">
        <f>IF($B11="","",(15*(R11&lt;&gt;"")+15*(COUNTIF(T11:AE11,"Да")&gt;0)+15*AND(J11&lt;&gt;"",OR(L11&lt;&gt;"",M11&lt;&gt;""))+15*(AS11&gt;0)+10*(AT11&gt;0)+10*(COUNTIF(AM11:AR11,"Да")&gt;0)+10*IF(A11="Внешний вендор",D11&lt;&gt;"",E11&lt;&gt;"")+5*(I11&lt;&gt;"")+5*IF(A11="Внешний вендор",G11&lt;&gt;"",TRUE))/100)</f>
        <v/>
      </c>
      <c r="AV11" s="21" t="n"/>
      <c r="AW11" s="21" t="n"/>
    </row>
    <row r="12">
      <c r="A12" s="25" t="n"/>
      <c r="B12" s="25" t="n"/>
      <c r="C12" s="25" t="n"/>
      <c r="D12" s="3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2">
        <f>IF($B12="","",COUNTIF('Портфолио'!$A$5:$A$205,$B12))</f>
        <v/>
      </c>
      <c r="AT12" s="22">
        <f>IF($B12="","",COUNTIF('Решения'!$A$5:$A$205,$B12))</f>
        <v/>
      </c>
      <c r="AU12" s="36">
        <f>IF($B12="","",(15*(R12&lt;&gt;"")+15*(COUNTIF(T12:AE12,"Да")&gt;0)+15*AND(J12&lt;&gt;"",OR(L12&lt;&gt;"",M12&lt;&gt;""))+15*(AS12&gt;0)+10*(AT12&gt;0)+10*(COUNTIF(AM12:AR12,"Да")&gt;0)+10*IF(A12="Внешний вендор",D12&lt;&gt;"",E12&lt;&gt;"")+5*(I12&lt;&gt;"")+5*IF(A12="Внешний вендор",G12&lt;&gt;"",TRUE))/100)</f>
        <v/>
      </c>
      <c r="AV12" s="21" t="n"/>
      <c r="AW12" s="21" t="n"/>
    </row>
    <row r="13">
      <c r="A13" s="25" t="n"/>
      <c r="B13" s="25" t="n"/>
      <c r="C13" s="25" t="n"/>
      <c r="D13" s="3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2">
        <f>IF($B13="","",COUNTIF('Портфолио'!$A$5:$A$205,$B13))</f>
        <v/>
      </c>
      <c r="AT13" s="22">
        <f>IF($B13="","",COUNTIF('Решения'!$A$5:$A$205,$B13))</f>
        <v/>
      </c>
      <c r="AU13" s="36">
        <f>IF($B13="","",(15*(R13&lt;&gt;"")+15*(COUNTIF(T13:AE13,"Да")&gt;0)+15*AND(J13&lt;&gt;"",OR(L13&lt;&gt;"",M13&lt;&gt;""))+15*(AS13&gt;0)+10*(AT13&gt;0)+10*(COUNTIF(AM13:AR13,"Да")&gt;0)+10*IF(A13="Внешний вендор",D13&lt;&gt;"",E13&lt;&gt;"")+5*(I13&lt;&gt;"")+5*IF(A13="Внешний вендор",G13&lt;&gt;"",TRUE))/100)</f>
        <v/>
      </c>
      <c r="AV13" s="21" t="n"/>
      <c r="AW13" s="21" t="n"/>
    </row>
    <row r="14">
      <c r="A14" s="25" t="n"/>
      <c r="B14" s="25" t="n"/>
      <c r="C14" s="25" t="n"/>
      <c r="D14" s="3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2">
        <f>IF($B14="","",COUNTIF('Портфолио'!$A$5:$A$205,$B14))</f>
        <v/>
      </c>
      <c r="AT14" s="22">
        <f>IF($B14="","",COUNTIF('Решения'!$A$5:$A$205,$B14))</f>
        <v/>
      </c>
      <c r="AU14" s="36">
        <f>IF($B14="","",(15*(R14&lt;&gt;"")+15*(COUNTIF(T14:AE14,"Да")&gt;0)+15*AND(J14&lt;&gt;"",OR(L14&lt;&gt;"",M14&lt;&gt;""))+15*(AS14&gt;0)+10*(AT14&gt;0)+10*(COUNTIF(AM14:AR14,"Да")&gt;0)+10*IF(A14="Внешний вендор",D14&lt;&gt;"",E14&lt;&gt;"")+5*(I14&lt;&gt;"")+5*IF(A14="Внешний вендор",G14&lt;&gt;"",TRUE))/100)</f>
        <v/>
      </c>
      <c r="AV14" s="21" t="n"/>
      <c r="AW14" s="21" t="n"/>
    </row>
    <row r="15">
      <c r="A15" s="25" t="n"/>
      <c r="B15" s="25" t="n"/>
      <c r="C15" s="25" t="n"/>
      <c r="D15" s="3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2">
        <f>IF($B15="","",COUNTIF('Портфолио'!$A$5:$A$205,$B15))</f>
        <v/>
      </c>
      <c r="AT15" s="22">
        <f>IF($B15="","",COUNTIF('Решения'!$A$5:$A$205,$B15))</f>
        <v/>
      </c>
      <c r="AU15" s="36">
        <f>IF($B15="","",(15*(R15&lt;&gt;"")+15*(COUNTIF(T15:AE15,"Да")&gt;0)+15*AND(J15&lt;&gt;"",OR(L15&lt;&gt;"",M15&lt;&gt;""))+15*(AS15&gt;0)+10*(AT15&gt;0)+10*(COUNTIF(AM15:AR15,"Да")&gt;0)+10*IF(A15="Внешний вендор",D15&lt;&gt;"",E15&lt;&gt;"")+5*(I15&lt;&gt;"")+5*IF(A15="Внешний вендор",G15&lt;&gt;"",TRUE))/100)</f>
        <v/>
      </c>
      <c r="AV15" s="21" t="n"/>
      <c r="AW15" s="21" t="n"/>
    </row>
    <row r="16">
      <c r="A16" s="25" t="n"/>
      <c r="B16" s="25" t="n"/>
      <c r="C16" s="25" t="n"/>
      <c r="D16" s="3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2">
        <f>IF($B16="","",COUNTIF('Портфолио'!$A$5:$A$205,$B16))</f>
        <v/>
      </c>
      <c r="AT16" s="22">
        <f>IF($B16="","",COUNTIF('Решения'!$A$5:$A$205,$B16))</f>
        <v/>
      </c>
      <c r="AU16" s="36">
        <f>IF($B16="","",(15*(R16&lt;&gt;"")+15*(COUNTIF(T16:AE16,"Да")&gt;0)+15*AND(J16&lt;&gt;"",OR(L16&lt;&gt;"",M16&lt;&gt;""))+15*(AS16&gt;0)+10*(AT16&gt;0)+10*(COUNTIF(AM16:AR16,"Да")&gt;0)+10*IF(A16="Внешний вендор",D16&lt;&gt;"",E16&lt;&gt;"")+5*(I16&lt;&gt;"")+5*IF(A16="Внешний вендор",G16&lt;&gt;"",TRUE))/100)</f>
        <v/>
      </c>
      <c r="AV16" s="21" t="n"/>
      <c r="AW16" s="21" t="n"/>
    </row>
    <row r="17">
      <c r="A17" s="25" t="n"/>
      <c r="B17" s="25" t="n"/>
      <c r="C17" s="25" t="n"/>
      <c r="D17" s="3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2">
        <f>IF($B17="","",COUNTIF('Портфолио'!$A$5:$A$205,$B17))</f>
        <v/>
      </c>
      <c r="AT17" s="22">
        <f>IF($B17="","",COUNTIF('Решения'!$A$5:$A$205,$B17))</f>
        <v/>
      </c>
      <c r="AU17" s="36">
        <f>IF($B17="","",(15*(R17&lt;&gt;"")+15*(COUNTIF(T17:AE17,"Да")&gt;0)+15*AND(J17&lt;&gt;"",OR(L17&lt;&gt;"",M17&lt;&gt;""))+15*(AS17&gt;0)+10*(AT17&gt;0)+10*(COUNTIF(AM17:AR17,"Да")&gt;0)+10*IF(A17="Внешний вендор",D17&lt;&gt;"",E17&lt;&gt;"")+5*(I17&lt;&gt;"")+5*IF(A17="Внешний вендор",G17&lt;&gt;"",TRUE))/100)</f>
        <v/>
      </c>
      <c r="AV17" s="21" t="n"/>
      <c r="AW17" s="21" t="n"/>
    </row>
    <row r="18">
      <c r="A18" s="25" t="n"/>
      <c r="B18" s="25" t="n"/>
      <c r="C18" s="25" t="n"/>
      <c r="D18" s="3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2">
        <f>IF($B18="","",COUNTIF('Портфолио'!$A$5:$A$205,$B18))</f>
        <v/>
      </c>
      <c r="AT18" s="22">
        <f>IF($B18="","",COUNTIF('Решения'!$A$5:$A$205,$B18))</f>
        <v/>
      </c>
      <c r="AU18" s="36">
        <f>IF($B18="","",(15*(R18&lt;&gt;"")+15*(COUNTIF(T18:AE18,"Да")&gt;0)+15*AND(J18&lt;&gt;"",OR(L18&lt;&gt;"",M18&lt;&gt;""))+15*(AS18&gt;0)+10*(AT18&gt;0)+10*(COUNTIF(AM18:AR18,"Да")&gt;0)+10*IF(A18="Внешний вендор",D18&lt;&gt;"",E18&lt;&gt;"")+5*(I18&lt;&gt;"")+5*IF(A18="Внешний вендор",G18&lt;&gt;"",TRUE))/100)</f>
        <v/>
      </c>
      <c r="AV18" s="21" t="n"/>
      <c r="AW18" s="21" t="n"/>
    </row>
    <row r="19">
      <c r="A19" s="25" t="n"/>
      <c r="B19" s="25" t="n"/>
      <c r="C19" s="25" t="n"/>
      <c r="D19" s="3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2">
        <f>IF($B19="","",COUNTIF('Портфолио'!$A$5:$A$205,$B19))</f>
        <v/>
      </c>
      <c r="AT19" s="22">
        <f>IF($B19="","",COUNTIF('Решения'!$A$5:$A$205,$B19))</f>
        <v/>
      </c>
      <c r="AU19" s="36">
        <f>IF($B19="","",(15*(R19&lt;&gt;"")+15*(COUNTIF(T19:AE19,"Да")&gt;0)+15*AND(J19&lt;&gt;"",OR(L19&lt;&gt;"",M19&lt;&gt;""))+15*(AS19&gt;0)+10*(AT19&gt;0)+10*(COUNTIF(AM19:AR19,"Да")&gt;0)+10*IF(A19="Внешний вендор",D19&lt;&gt;"",E19&lt;&gt;"")+5*(I19&lt;&gt;"")+5*IF(A19="Внешний вендор",G19&lt;&gt;"",TRUE))/100)</f>
        <v/>
      </c>
      <c r="AV19" s="21" t="n"/>
      <c r="AW19" s="21" t="n"/>
    </row>
    <row r="20">
      <c r="A20" s="25" t="n"/>
      <c r="B20" s="25" t="n"/>
      <c r="C20" s="25" t="n"/>
      <c r="D20" s="3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2">
        <f>IF($B20="","",COUNTIF('Портфолио'!$A$5:$A$205,$B20))</f>
        <v/>
      </c>
      <c r="AT20" s="22">
        <f>IF($B20="","",COUNTIF('Решения'!$A$5:$A$205,$B20))</f>
        <v/>
      </c>
      <c r="AU20" s="36">
        <f>IF($B20="","",(15*(R20&lt;&gt;"")+15*(COUNTIF(T20:AE20,"Да")&gt;0)+15*AND(J20&lt;&gt;"",OR(L20&lt;&gt;"",M20&lt;&gt;""))+15*(AS20&gt;0)+10*(AT20&gt;0)+10*(COUNTIF(AM20:AR20,"Да")&gt;0)+10*IF(A20="Внешний вендор",D20&lt;&gt;"",E20&lt;&gt;"")+5*(I20&lt;&gt;"")+5*IF(A20="Внешний вендор",G20&lt;&gt;"",TRUE))/100)</f>
        <v/>
      </c>
      <c r="AV20" s="21" t="n"/>
      <c r="AW20" s="21" t="n"/>
    </row>
    <row r="21">
      <c r="A21" s="25" t="n"/>
      <c r="B21" s="25" t="n"/>
      <c r="C21" s="25" t="n"/>
      <c r="D21" s="3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2">
        <f>IF($B21="","",COUNTIF('Портфолио'!$A$5:$A$205,$B21))</f>
        <v/>
      </c>
      <c r="AT21" s="22">
        <f>IF($B21="","",COUNTIF('Решения'!$A$5:$A$205,$B21))</f>
        <v/>
      </c>
      <c r="AU21" s="36">
        <f>IF($B21="","",(15*(R21&lt;&gt;"")+15*(COUNTIF(T21:AE21,"Да")&gt;0)+15*AND(J21&lt;&gt;"",OR(L21&lt;&gt;"",M21&lt;&gt;""))+15*(AS21&gt;0)+10*(AT21&gt;0)+10*(COUNTIF(AM21:AR21,"Да")&gt;0)+10*IF(A21="Внешний вендор",D21&lt;&gt;"",E21&lt;&gt;"")+5*(I21&lt;&gt;"")+5*IF(A21="Внешний вендор",G21&lt;&gt;"",TRUE))/100)</f>
        <v/>
      </c>
      <c r="AV21" s="21" t="n"/>
      <c r="AW21" s="21" t="n"/>
    </row>
    <row r="22">
      <c r="A22" s="25" t="n"/>
      <c r="B22" s="25" t="n"/>
      <c r="C22" s="25" t="n"/>
      <c r="D22" s="3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2">
        <f>IF($B22="","",COUNTIF('Портфолио'!$A$5:$A$205,$B22))</f>
        <v/>
      </c>
      <c r="AT22" s="22">
        <f>IF($B22="","",COUNTIF('Решения'!$A$5:$A$205,$B22))</f>
        <v/>
      </c>
      <c r="AU22" s="36">
        <f>IF($B22="","",(15*(R22&lt;&gt;"")+15*(COUNTIF(T22:AE22,"Да")&gt;0)+15*AND(J22&lt;&gt;"",OR(L22&lt;&gt;"",M22&lt;&gt;""))+15*(AS22&gt;0)+10*(AT22&gt;0)+10*(COUNTIF(AM22:AR22,"Да")&gt;0)+10*IF(A22="Внешний вендор",D22&lt;&gt;"",E22&lt;&gt;"")+5*(I22&lt;&gt;"")+5*IF(A22="Внешний вендор",G22&lt;&gt;"",TRUE))/100)</f>
        <v/>
      </c>
      <c r="AV22" s="21" t="n"/>
      <c r="AW22" s="21" t="n"/>
    </row>
    <row r="23">
      <c r="A23" s="25" t="n"/>
      <c r="B23" s="25" t="n"/>
      <c r="C23" s="25" t="n"/>
      <c r="D23" s="3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2">
        <f>IF($B23="","",COUNTIF('Портфолио'!$A$5:$A$205,$B23))</f>
        <v/>
      </c>
      <c r="AT23" s="22">
        <f>IF($B23="","",COUNTIF('Решения'!$A$5:$A$205,$B23))</f>
        <v/>
      </c>
      <c r="AU23" s="36">
        <f>IF($B23="","",(15*(R23&lt;&gt;"")+15*(COUNTIF(T23:AE23,"Да")&gt;0)+15*AND(J23&lt;&gt;"",OR(L23&lt;&gt;"",M23&lt;&gt;""))+15*(AS23&gt;0)+10*(AT23&gt;0)+10*(COUNTIF(AM23:AR23,"Да")&gt;0)+10*IF(A23="Внешний вендор",D23&lt;&gt;"",E23&lt;&gt;"")+5*(I23&lt;&gt;"")+5*IF(A23="Внешний вендор",G23&lt;&gt;"",TRUE))/100)</f>
        <v/>
      </c>
      <c r="AV23" s="21" t="n"/>
      <c r="AW23" s="21" t="n"/>
    </row>
    <row r="24">
      <c r="A24" s="25" t="n"/>
      <c r="B24" s="25" t="n"/>
      <c r="C24" s="25" t="n"/>
      <c r="D24" s="3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2">
        <f>IF($B24="","",COUNTIF('Портфолио'!$A$5:$A$205,$B24))</f>
        <v/>
      </c>
      <c r="AT24" s="22">
        <f>IF($B24="","",COUNTIF('Решения'!$A$5:$A$205,$B24))</f>
        <v/>
      </c>
      <c r="AU24" s="36">
        <f>IF($B24="","",(15*(R24&lt;&gt;"")+15*(COUNTIF(T24:AE24,"Да")&gt;0)+15*AND(J24&lt;&gt;"",OR(L24&lt;&gt;"",M24&lt;&gt;""))+15*(AS24&gt;0)+10*(AT24&gt;0)+10*(COUNTIF(AM24:AR24,"Да")&gt;0)+10*IF(A24="Внешний вендор",D24&lt;&gt;"",E24&lt;&gt;"")+5*(I24&lt;&gt;"")+5*IF(A24="Внешний вендор",G24&lt;&gt;"",TRUE))/100)</f>
        <v/>
      </c>
      <c r="AV24" s="21" t="n"/>
      <c r="AW24" s="21" t="n"/>
    </row>
    <row r="25">
      <c r="A25" s="25" t="n"/>
      <c r="B25" s="25" t="n"/>
      <c r="C25" s="25" t="n"/>
      <c r="D25" s="3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2">
        <f>IF($B25="","",COUNTIF('Портфолио'!$A$5:$A$205,$B25))</f>
        <v/>
      </c>
      <c r="AT25" s="22">
        <f>IF($B25="","",COUNTIF('Решения'!$A$5:$A$205,$B25))</f>
        <v/>
      </c>
      <c r="AU25" s="36">
        <f>IF($B25="","",(15*(R25&lt;&gt;"")+15*(COUNTIF(T25:AE25,"Да")&gt;0)+15*AND(J25&lt;&gt;"",OR(L25&lt;&gt;"",M25&lt;&gt;""))+15*(AS25&gt;0)+10*(AT25&gt;0)+10*(COUNTIF(AM25:AR25,"Да")&gt;0)+10*IF(A25="Внешний вендор",D25&lt;&gt;"",E25&lt;&gt;"")+5*(I25&lt;&gt;"")+5*IF(A25="Внешний вендор",G25&lt;&gt;"",TRUE))/100)</f>
        <v/>
      </c>
      <c r="AV25" s="21" t="n"/>
      <c r="AW25" s="21" t="n"/>
    </row>
    <row r="26">
      <c r="A26" s="25" t="n"/>
      <c r="B26" s="25" t="n"/>
      <c r="C26" s="25" t="n"/>
      <c r="D26" s="3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2">
        <f>IF($B26="","",COUNTIF('Портфолио'!$A$5:$A$205,$B26))</f>
        <v/>
      </c>
      <c r="AT26" s="22">
        <f>IF($B26="","",COUNTIF('Решения'!$A$5:$A$205,$B26))</f>
        <v/>
      </c>
      <c r="AU26" s="36">
        <f>IF($B26="","",(15*(R26&lt;&gt;"")+15*(COUNTIF(T26:AE26,"Да")&gt;0)+15*AND(J26&lt;&gt;"",OR(L26&lt;&gt;"",M26&lt;&gt;""))+15*(AS26&gt;0)+10*(AT26&gt;0)+10*(COUNTIF(AM26:AR26,"Да")&gt;0)+10*IF(A26="Внешний вендор",D26&lt;&gt;"",E26&lt;&gt;"")+5*(I26&lt;&gt;"")+5*IF(A26="Внешний вендор",G26&lt;&gt;"",TRUE))/100)</f>
        <v/>
      </c>
      <c r="AV26" s="21" t="n"/>
      <c r="AW26" s="21" t="n"/>
    </row>
    <row r="27">
      <c r="A27" s="25" t="n"/>
      <c r="B27" s="25" t="n"/>
      <c r="C27" s="25" t="n"/>
      <c r="D27" s="3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2">
        <f>IF($B27="","",COUNTIF('Портфолио'!$A$5:$A$205,$B27))</f>
        <v/>
      </c>
      <c r="AT27" s="22">
        <f>IF($B27="","",COUNTIF('Решения'!$A$5:$A$205,$B27))</f>
        <v/>
      </c>
      <c r="AU27" s="36">
        <f>IF($B27="","",(15*(R27&lt;&gt;"")+15*(COUNTIF(T27:AE27,"Да")&gt;0)+15*AND(J27&lt;&gt;"",OR(L27&lt;&gt;"",M27&lt;&gt;""))+15*(AS27&gt;0)+10*(AT27&gt;0)+10*(COUNTIF(AM27:AR27,"Да")&gt;0)+10*IF(A27="Внешний вендор",D27&lt;&gt;"",E27&lt;&gt;"")+5*(I27&lt;&gt;"")+5*IF(A27="Внешний вендор",G27&lt;&gt;"",TRUE))/100)</f>
        <v/>
      </c>
      <c r="AV27" s="21" t="n"/>
      <c r="AW27" s="21" t="n"/>
    </row>
    <row r="28">
      <c r="A28" s="25" t="n"/>
      <c r="B28" s="25" t="n"/>
      <c r="C28" s="25" t="n"/>
      <c r="D28" s="3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2">
        <f>IF($B28="","",COUNTIF('Портфолио'!$A$5:$A$205,$B28))</f>
        <v/>
      </c>
      <c r="AT28" s="22">
        <f>IF($B28="","",COUNTIF('Решения'!$A$5:$A$205,$B28))</f>
        <v/>
      </c>
      <c r="AU28" s="36">
        <f>IF($B28="","",(15*(R28&lt;&gt;"")+15*(COUNTIF(T28:AE28,"Да")&gt;0)+15*AND(J28&lt;&gt;"",OR(L28&lt;&gt;"",M28&lt;&gt;""))+15*(AS28&gt;0)+10*(AT28&gt;0)+10*(COUNTIF(AM28:AR28,"Да")&gt;0)+10*IF(A28="Внешний вендор",D28&lt;&gt;"",E28&lt;&gt;"")+5*(I28&lt;&gt;"")+5*IF(A28="Внешний вендор",G28&lt;&gt;"",TRUE))/100)</f>
        <v/>
      </c>
      <c r="AV28" s="21" t="n"/>
      <c r="AW28" s="21" t="n"/>
    </row>
    <row r="29">
      <c r="A29" s="25" t="n"/>
      <c r="B29" s="25" t="n"/>
      <c r="C29" s="25" t="n"/>
      <c r="D29" s="3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2">
        <f>IF($B29="","",COUNTIF('Портфолио'!$A$5:$A$205,$B29))</f>
        <v/>
      </c>
      <c r="AT29" s="22">
        <f>IF($B29="","",COUNTIF('Решения'!$A$5:$A$205,$B29))</f>
        <v/>
      </c>
      <c r="AU29" s="36">
        <f>IF($B29="","",(15*(R29&lt;&gt;"")+15*(COUNTIF(T29:AE29,"Да")&gt;0)+15*AND(J29&lt;&gt;"",OR(L29&lt;&gt;"",M29&lt;&gt;""))+15*(AS29&gt;0)+10*(AT29&gt;0)+10*(COUNTIF(AM29:AR29,"Да")&gt;0)+10*IF(A29="Внешний вендор",D29&lt;&gt;"",E29&lt;&gt;"")+5*(I29&lt;&gt;"")+5*IF(A29="Внешний вендор",G29&lt;&gt;"",TRUE))/100)</f>
        <v/>
      </c>
      <c r="AV29" s="21" t="n"/>
      <c r="AW29" s="21" t="n"/>
    </row>
    <row r="30">
      <c r="A30" s="25" t="n"/>
      <c r="B30" s="25" t="n"/>
      <c r="C30" s="25" t="n"/>
      <c r="D30" s="3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2">
        <f>IF($B30="","",COUNTIF('Портфолио'!$A$5:$A$205,$B30))</f>
        <v/>
      </c>
      <c r="AT30" s="22">
        <f>IF($B30="","",COUNTIF('Решения'!$A$5:$A$205,$B30))</f>
        <v/>
      </c>
      <c r="AU30" s="36">
        <f>IF($B30="","",(15*(R30&lt;&gt;"")+15*(COUNTIF(T30:AE30,"Да")&gt;0)+15*AND(J30&lt;&gt;"",OR(L30&lt;&gt;"",M30&lt;&gt;""))+15*(AS30&gt;0)+10*(AT30&gt;0)+10*(COUNTIF(AM30:AR30,"Да")&gt;0)+10*IF(A30="Внешний вендор",D30&lt;&gt;"",E30&lt;&gt;"")+5*(I30&lt;&gt;"")+5*IF(A30="Внешний вендор",G30&lt;&gt;"",TRUE))/100)</f>
        <v/>
      </c>
      <c r="AV30" s="21" t="n"/>
      <c r="AW30" s="21" t="n"/>
    </row>
    <row r="31">
      <c r="A31" s="25" t="n"/>
      <c r="B31" s="25" t="n"/>
      <c r="C31" s="25" t="n"/>
      <c r="D31" s="3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2">
        <f>IF($B31="","",COUNTIF('Портфолио'!$A$5:$A$205,$B31))</f>
        <v/>
      </c>
      <c r="AT31" s="22">
        <f>IF($B31="","",COUNTIF('Решения'!$A$5:$A$205,$B31))</f>
        <v/>
      </c>
      <c r="AU31" s="36">
        <f>IF($B31="","",(15*(R31&lt;&gt;"")+15*(COUNTIF(T31:AE31,"Да")&gt;0)+15*AND(J31&lt;&gt;"",OR(L31&lt;&gt;"",M31&lt;&gt;""))+15*(AS31&gt;0)+10*(AT31&gt;0)+10*(COUNTIF(AM31:AR31,"Да")&gt;0)+10*IF(A31="Внешний вендор",D31&lt;&gt;"",E31&lt;&gt;"")+5*(I31&lt;&gt;"")+5*IF(A31="Внешний вендор",G31&lt;&gt;"",TRUE))/100)</f>
        <v/>
      </c>
      <c r="AV31" s="21" t="n"/>
      <c r="AW31" s="21" t="n"/>
    </row>
    <row r="32">
      <c r="A32" s="25" t="n"/>
      <c r="B32" s="25" t="n"/>
      <c r="C32" s="25" t="n"/>
      <c r="D32" s="3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2">
        <f>IF($B32="","",COUNTIF('Портфолио'!$A$5:$A$205,$B32))</f>
        <v/>
      </c>
      <c r="AT32" s="22">
        <f>IF($B32="","",COUNTIF('Решения'!$A$5:$A$205,$B32))</f>
        <v/>
      </c>
      <c r="AU32" s="36">
        <f>IF($B32="","",(15*(R32&lt;&gt;"")+15*(COUNTIF(T32:AE32,"Да")&gt;0)+15*AND(J32&lt;&gt;"",OR(L32&lt;&gt;"",M32&lt;&gt;""))+15*(AS32&gt;0)+10*(AT32&gt;0)+10*(COUNTIF(AM32:AR32,"Да")&gt;0)+10*IF(A32="Внешний вендор",D32&lt;&gt;"",E32&lt;&gt;"")+5*(I32&lt;&gt;"")+5*IF(A32="Внешний вендор",G32&lt;&gt;"",TRUE))/100)</f>
        <v/>
      </c>
      <c r="AV32" s="21" t="n"/>
      <c r="AW32" s="21" t="n"/>
    </row>
    <row r="33">
      <c r="A33" s="25" t="n"/>
      <c r="B33" s="25" t="n"/>
      <c r="C33" s="25" t="n"/>
      <c r="D33" s="3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2">
        <f>IF($B33="","",COUNTIF('Портфолио'!$A$5:$A$205,$B33))</f>
        <v/>
      </c>
      <c r="AT33" s="22">
        <f>IF($B33="","",COUNTIF('Решения'!$A$5:$A$205,$B33))</f>
        <v/>
      </c>
      <c r="AU33" s="36">
        <f>IF($B33="","",(15*(R33&lt;&gt;"")+15*(COUNTIF(T33:AE33,"Да")&gt;0)+15*AND(J33&lt;&gt;"",OR(L33&lt;&gt;"",M33&lt;&gt;""))+15*(AS33&gt;0)+10*(AT33&gt;0)+10*(COUNTIF(AM33:AR33,"Да")&gt;0)+10*IF(A33="Внешний вендор",D33&lt;&gt;"",E33&lt;&gt;"")+5*(I33&lt;&gt;"")+5*IF(A33="Внешний вендор",G33&lt;&gt;"",TRUE))/100)</f>
        <v/>
      </c>
      <c r="AV33" s="21" t="n"/>
      <c r="AW33" s="21" t="n"/>
    </row>
    <row r="34">
      <c r="A34" s="25" t="n"/>
      <c r="B34" s="25" t="n"/>
      <c r="C34" s="25" t="n"/>
      <c r="D34" s="3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2">
        <f>IF($B34="","",COUNTIF('Портфолио'!$A$5:$A$205,$B34))</f>
        <v/>
      </c>
      <c r="AT34" s="22">
        <f>IF($B34="","",COUNTIF('Решения'!$A$5:$A$205,$B34))</f>
        <v/>
      </c>
      <c r="AU34" s="36">
        <f>IF($B34="","",(15*(R34&lt;&gt;"")+15*(COUNTIF(T34:AE34,"Да")&gt;0)+15*AND(J34&lt;&gt;"",OR(L34&lt;&gt;"",M34&lt;&gt;""))+15*(AS34&gt;0)+10*(AT34&gt;0)+10*(COUNTIF(AM34:AR34,"Да")&gt;0)+10*IF(A34="Внешний вендор",D34&lt;&gt;"",E34&lt;&gt;"")+5*(I34&lt;&gt;"")+5*IF(A34="Внешний вендор",G34&lt;&gt;"",TRUE))/100)</f>
        <v/>
      </c>
      <c r="AV34" s="21" t="n"/>
      <c r="AW34" s="21" t="n"/>
    </row>
    <row r="35">
      <c r="A35" s="25" t="n"/>
      <c r="B35" s="25" t="n"/>
      <c r="C35" s="25" t="n"/>
      <c r="D35" s="3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2">
        <f>IF($B35="","",COUNTIF('Портфолио'!$A$5:$A$205,$B35))</f>
        <v/>
      </c>
      <c r="AT35" s="22">
        <f>IF($B35="","",COUNTIF('Решения'!$A$5:$A$205,$B35))</f>
        <v/>
      </c>
      <c r="AU35" s="36">
        <f>IF($B35="","",(15*(R35&lt;&gt;"")+15*(COUNTIF(T35:AE35,"Да")&gt;0)+15*AND(J35&lt;&gt;"",OR(L35&lt;&gt;"",M35&lt;&gt;""))+15*(AS35&gt;0)+10*(AT35&gt;0)+10*(COUNTIF(AM35:AR35,"Да")&gt;0)+10*IF(A35="Внешний вендор",D35&lt;&gt;"",E35&lt;&gt;"")+5*(I35&lt;&gt;"")+5*IF(A35="Внешний вендор",G35&lt;&gt;"",TRUE))/100)</f>
        <v/>
      </c>
      <c r="AV35" s="21" t="n"/>
      <c r="AW35" s="21" t="n"/>
    </row>
    <row r="36">
      <c r="A36" s="25" t="n"/>
      <c r="B36" s="25" t="n"/>
      <c r="C36" s="25" t="n"/>
      <c r="D36" s="3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2">
        <f>IF($B36="","",COUNTIF('Портфолио'!$A$5:$A$205,$B36))</f>
        <v/>
      </c>
      <c r="AT36" s="22">
        <f>IF($B36="","",COUNTIF('Решения'!$A$5:$A$205,$B36))</f>
        <v/>
      </c>
      <c r="AU36" s="36">
        <f>IF($B36="","",(15*(R36&lt;&gt;"")+15*(COUNTIF(T36:AE36,"Да")&gt;0)+15*AND(J36&lt;&gt;"",OR(L36&lt;&gt;"",M36&lt;&gt;""))+15*(AS36&gt;0)+10*(AT36&gt;0)+10*(COUNTIF(AM36:AR36,"Да")&gt;0)+10*IF(A36="Внешний вендор",D36&lt;&gt;"",E36&lt;&gt;"")+5*(I36&lt;&gt;"")+5*IF(A36="Внешний вендор",G36&lt;&gt;"",TRUE))/100)</f>
        <v/>
      </c>
      <c r="AV36" s="21" t="n"/>
      <c r="AW36" s="21" t="n"/>
    </row>
    <row r="37">
      <c r="A37" s="25" t="n"/>
      <c r="B37" s="25" t="n"/>
      <c r="C37" s="25" t="n"/>
      <c r="D37" s="3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2">
        <f>IF($B37="","",COUNTIF('Портфолио'!$A$5:$A$205,$B37))</f>
        <v/>
      </c>
      <c r="AT37" s="22">
        <f>IF($B37="","",COUNTIF('Решения'!$A$5:$A$205,$B37))</f>
        <v/>
      </c>
      <c r="AU37" s="36">
        <f>IF($B37="","",(15*(R37&lt;&gt;"")+15*(COUNTIF(T37:AE37,"Да")&gt;0)+15*AND(J37&lt;&gt;"",OR(L37&lt;&gt;"",M37&lt;&gt;""))+15*(AS37&gt;0)+10*(AT37&gt;0)+10*(COUNTIF(AM37:AR37,"Да")&gt;0)+10*IF(A37="Внешний вендор",D37&lt;&gt;"",E37&lt;&gt;"")+5*(I37&lt;&gt;"")+5*IF(A37="Внешний вендор",G37&lt;&gt;"",TRUE))/100)</f>
        <v/>
      </c>
      <c r="AV37" s="21" t="n"/>
      <c r="AW37" s="21" t="n"/>
    </row>
    <row r="38">
      <c r="A38" s="25" t="n"/>
      <c r="B38" s="25" t="n"/>
      <c r="C38" s="25" t="n"/>
      <c r="D38" s="3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2">
        <f>IF($B38="","",COUNTIF('Портфолио'!$A$5:$A$205,$B38))</f>
        <v/>
      </c>
      <c r="AT38" s="22">
        <f>IF($B38="","",COUNTIF('Решения'!$A$5:$A$205,$B38))</f>
        <v/>
      </c>
      <c r="AU38" s="36">
        <f>IF($B38="","",(15*(R38&lt;&gt;"")+15*(COUNTIF(T38:AE38,"Да")&gt;0)+15*AND(J38&lt;&gt;"",OR(L38&lt;&gt;"",M38&lt;&gt;""))+15*(AS38&gt;0)+10*(AT38&gt;0)+10*(COUNTIF(AM38:AR38,"Да")&gt;0)+10*IF(A38="Внешний вендор",D38&lt;&gt;"",E38&lt;&gt;"")+5*(I38&lt;&gt;"")+5*IF(A38="Внешний вендор",G38&lt;&gt;"",TRUE))/100)</f>
        <v/>
      </c>
      <c r="AV38" s="21" t="n"/>
      <c r="AW38" s="21" t="n"/>
    </row>
    <row r="39">
      <c r="A39" s="25" t="n"/>
      <c r="B39" s="25" t="n"/>
      <c r="C39" s="25" t="n"/>
      <c r="D39" s="3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2">
        <f>IF($B39="","",COUNTIF('Портфолио'!$A$5:$A$205,$B39))</f>
        <v/>
      </c>
      <c r="AT39" s="22">
        <f>IF($B39="","",COUNTIF('Решения'!$A$5:$A$205,$B39))</f>
        <v/>
      </c>
      <c r="AU39" s="36">
        <f>IF($B39="","",(15*(R39&lt;&gt;"")+15*(COUNTIF(T39:AE39,"Да")&gt;0)+15*AND(J39&lt;&gt;"",OR(L39&lt;&gt;"",M39&lt;&gt;""))+15*(AS39&gt;0)+10*(AT39&gt;0)+10*(COUNTIF(AM39:AR39,"Да")&gt;0)+10*IF(A39="Внешний вендор",D39&lt;&gt;"",E39&lt;&gt;"")+5*(I39&lt;&gt;"")+5*IF(A39="Внешний вендор",G39&lt;&gt;"",TRUE))/100)</f>
        <v/>
      </c>
      <c r="AV39" s="21" t="n"/>
      <c r="AW39" s="21" t="n"/>
    </row>
    <row r="40">
      <c r="A40" s="25" t="n"/>
      <c r="B40" s="25" t="n"/>
      <c r="C40" s="25" t="n"/>
      <c r="D40" s="3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2">
        <f>IF($B40="","",COUNTIF('Портфолио'!$A$5:$A$205,$B40))</f>
        <v/>
      </c>
      <c r="AT40" s="22">
        <f>IF($B40="","",COUNTIF('Решения'!$A$5:$A$205,$B40))</f>
        <v/>
      </c>
      <c r="AU40" s="36">
        <f>IF($B40="","",(15*(R40&lt;&gt;"")+15*(COUNTIF(T40:AE40,"Да")&gt;0)+15*AND(J40&lt;&gt;"",OR(L40&lt;&gt;"",M40&lt;&gt;""))+15*(AS40&gt;0)+10*(AT40&gt;0)+10*(COUNTIF(AM40:AR40,"Да")&gt;0)+10*IF(A40="Внешний вендор",D40&lt;&gt;"",E40&lt;&gt;"")+5*(I40&lt;&gt;"")+5*IF(A40="Внешний вендор",G40&lt;&gt;"",TRUE))/100)</f>
        <v/>
      </c>
      <c r="AV40" s="21" t="n"/>
      <c r="AW40" s="21" t="n"/>
    </row>
    <row r="41">
      <c r="A41" s="25" t="n"/>
      <c r="B41" s="25" t="n"/>
      <c r="C41" s="25" t="n"/>
      <c r="D41" s="3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2">
        <f>IF($B41="","",COUNTIF('Портфолио'!$A$5:$A$205,$B41))</f>
        <v/>
      </c>
      <c r="AT41" s="22">
        <f>IF($B41="","",COUNTIF('Решения'!$A$5:$A$205,$B41))</f>
        <v/>
      </c>
      <c r="AU41" s="36">
        <f>IF($B41="","",(15*(R41&lt;&gt;"")+15*(COUNTIF(T41:AE41,"Да")&gt;0)+15*AND(J41&lt;&gt;"",OR(L41&lt;&gt;"",M41&lt;&gt;""))+15*(AS41&gt;0)+10*(AT41&gt;0)+10*(COUNTIF(AM41:AR41,"Да")&gt;0)+10*IF(A41="Внешний вендор",D41&lt;&gt;"",E41&lt;&gt;"")+5*(I41&lt;&gt;"")+5*IF(A41="Внешний вендор",G41&lt;&gt;"",TRUE))/100)</f>
        <v/>
      </c>
      <c r="AV41" s="21" t="n"/>
      <c r="AW41" s="21" t="n"/>
    </row>
    <row r="42">
      <c r="A42" s="25" t="n"/>
      <c r="B42" s="25" t="n"/>
      <c r="C42" s="25" t="n"/>
      <c r="D42" s="3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2">
        <f>IF($B42="","",COUNTIF('Портфолио'!$A$5:$A$205,$B42))</f>
        <v/>
      </c>
      <c r="AT42" s="22">
        <f>IF($B42="","",COUNTIF('Решения'!$A$5:$A$205,$B42))</f>
        <v/>
      </c>
      <c r="AU42" s="36">
        <f>IF($B42="","",(15*(R42&lt;&gt;"")+15*(COUNTIF(T42:AE42,"Да")&gt;0)+15*AND(J42&lt;&gt;"",OR(L42&lt;&gt;"",M42&lt;&gt;""))+15*(AS42&gt;0)+10*(AT42&gt;0)+10*(COUNTIF(AM42:AR42,"Да")&gt;0)+10*IF(A42="Внешний вендор",D42&lt;&gt;"",E42&lt;&gt;"")+5*(I42&lt;&gt;"")+5*IF(A42="Внешний вендор",G42&lt;&gt;"",TRUE))/100)</f>
        <v/>
      </c>
      <c r="AV42" s="21" t="n"/>
      <c r="AW42" s="21" t="n"/>
    </row>
    <row r="43">
      <c r="A43" s="25" t="n"/>
      <c r="B43" s="25" t="n"/>
      <c r="C43" s="25" t="n"/>
      <c r="D43" s="3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2">
        <f>IF($B43="","",COUNTIF('Портфолио'!$A$5:$A$205,$B43))</f>
        <v/>
      </c>
      <c r="AT43" s="22">
        <f>IF($B43="","",COUNTIF('Решения'!$A$5:$A$205,$B43))</f>
        <v/>
      </c>
      <c r="AU43" s="36">
        <f>IF($B43="","",(15*(R43&lt;&gt;"")+15*(COUNTIF(T43:AE43,"Да")&gt;0)+15*AND(J43&lt;&gt;"",OR(L43&lt;&gt;"",M43&lt;&gt;""))+15*(AS43&gt;0)+10*(AT43&gt;0)+10*(COUNTIF(AM43:AR43,"Да")&gt;0)+10*IF(A43="Внешний вендор",D43&lt;&gt;"",E43&lt;&gt;"")+5*(I43&lt;&gt;"")+5*IF(A43="Внешний вендор",G43&lt;&gt;"",TRUE))/100)</f>
        <v/>
      </c>
      <c r="AV43" s="21" t="n"/>
      <c r="AW43" s="21" t="n"/>
    </row>
    <row r="44">
      <c r="A44" s="25" t="n"/>
      <c r="B44" s="25" t="n"/>
      <c r="C44" s="25" t="n"/>
      <c r="D44" s="3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2">
        <f>IF($B44="","",COUNTIF('Портфолио'!$A$5:$A$205,$B44))</f>
        <v/>
      </c>
      <c r="AT44" s="22">
        <f>IF($B44="","",COUNTIF('Решения'!$A$5:$A$205,$B44))</f>
        <v/>
      </c>
      <c r="AU44" s="36">
        <f>IF($B44="","",(15*(R44&lt;&gt;"")+15*(COUNTIF(T44:AE44,"Да")&gt;0)+15*AND(J44&lt;&gt;"",OR(L44&lt;&gt;"",M44&lt;&gt;""))+15*(AS44&gt;0)+10*(AT44&gt;0)+10*(COUNTIF(AM44:AR44,"Да")&gt;0)+10*IF(A44="Внешний вендор",D44&lt;&gt;"",E44&lt;&gt;"")+5*(I44&lt;&gt;"")+5*IF(A44="Внешний вендор",G44&lt;&gt;"",TRUE))/100)</f>
        <v/>
      </c>
      <c r="AV44" s="21" t="n"/>
      <c r="AW44" s="21" t="n"/>
    </row>
    <row r="45">
      <c r="A45" s="25" t="n"/>
      <c r="B45" s="25" t="n"/>
      <c r="C45" s="25" t="n"/>
      <c r="D45" s="3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2">
        <f>IF($B45="","",COUNTIF('Портфолио'!$A$5:$A$205,$B45))</f>
        <v/>
      </c>
      <c r="AT45" s="22">
        <f>IF($B45="","",COUNTIF('Решения'!$A$5:$A$205,$B45))</f>
        <v/>
      </c>
      <c r="AU45" s="36">
        <f>IF($B45="","",(15*(R45&lt;&gt;"")+15*(COUNTIF(T45:AE45,"Да")&gt;0)+15*AND(J45&lt;&gt;"",OR(L45&lt;&gt;"",M45&lt;&gt;""))+15*(AS45&gt;0)+10*(AT45&gt;0)+10*(COUNTIF(AM45:AR45,"Да")&gt;0)+10*IF(A45="Внешний вендор",D45&lt;&gt;"",E45&lt;&gt;"")+5*(I45&lt;&gt;"")+5*IF(A45="Внешний вендор",G45&lt;&gt;"",TRUE))/100)</f>
        <v/>
      </c>
      <c r="AV45" s="21" t="n"/>
      <c r="AW45" s="21" t="n"/>
    </row>
    <row r="46">
      <c r="A46" s="25" t="n"/>
      <c r="B46" s="25" t="n"/>
      <c r="C46" s="25" t="n"/>
      <c r="D46" s="3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2">
        <f>IF($B46="","",COUNTIF('Портфолио'!$A$5:$A$205,$B46))</f>
        <v/>
      </c>
      <c r="AT46" s="22">
        <f>IF($B46="","",COUNTIF('Решения'!$A$5:$A$205,$B46))</f>
        <v/>
      </c>
      <c r="AU46" s="36">
        <f>IF($B46="","",(15*(R46&lt;&gt;"")+15*(COUNTIF(T46:AE46,"Да")&gt;0)+15*AND(J46&lt;&gt;"",OR(L46&lt;&gt;"",M46&lt;&gt;""))+15*(AS46&gt;0)+10*(AT46&gt;0)+10*(COUNTIF(AM46:AR46,"Да")&gt;0)+10*IF(A46="Внешний вендор",D46&lt;&gt;"",E46&lt;&gt;"")+5*(I46&lt;&gt;"")+5*IF(A46="Внешний вендор",G46&lt;&gt;"",TRUE))/100)</f>
        <v/>
      </c>
      <c r="AV46" s="21" t="n"/>
      <c r="AW46" s="21" t="n"/>
    </row>
    <row r="47">
      <c r="A47" s="25" t="n"/>
      <c r="B47" s="25" t="n"/>
      <c r="C47" s="25" t="n"/>
      <c r="D47" s="3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2">
        <f>IF($B47="","",COUNTIF('Портфолио'!$A$5:$A$205,$B47))</f>
        <v/>
      </c>
      <c r="AT47" s="22">
        <f>IF($B47="","",COUNTIF('Решения'!$A$5:$A$205,$B47))</f>
        <v/>
      </c>
      <c r="AU47" s="36">
        <f>IF($B47="","",(15*(R47&lt;&gt;"")+15*(COUNTIF(T47:AE47,"Да")&gt;0)+15*AND(J47&lt;&gt;"",OR(L47&lt;&gt;"",M47&lt;&gt;""))+15*(AS47&gt;0)+10*(AT47&gt;0)+10*(COUNTIF(AM47:AR47,"Да")&gt;0)+10*IF(A47="Внешний вендор",D47&lt;&gt;"",E47&lt;&gt;"")+5*(I47&lt;&gt;"")+5*IF(A47="Внешний вендор",G47&lt;&gt;"",TRUE))/100)</f>
        <v/>
      </c>
      <c r="AV47" s="21" t="n"/>
      <c r="AW47" s="21" t="n"/>
    </row>
    <row r="48">
      <c r="A48" s="25" t="n"/>
      <c r="B48" s="25" t="n"/>
      <c r="C48" s="25" t="n"/>
      <c r="D48" s="3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2">
        <f>IF($B48="","",COUNTIF('Портфолио'!$A$5:$A$205,$B48))</f>
        <v/>
      </c>
      <c r="AT48" s="22">
        <f>IF($B48="","",COUNTIF('Решения'!$A$5:$A$205,$B48))</f>
        <v/>
      </c>
      <c r="AU48" s="36">
        <f>IF($B48="","",(15*(R48&lt;&gt;"")+15*(COUNTIF(T48:AE48,"Да")&gt;0)+15*AND(J48&lt;&gt;"",OR(L48&lt;&gt;"",M48&lt;&gt;""))+15*(AS48&gt;0)+10*(AT48&gt;0)+10*(COUNTIF(AM48:AR48,"Да")&gt;0)+10*IF(A48="Внешний вендор",D48&lt;&gt;"",E48&lt;&gt;"")+5*(I48&lt;&gt;"")+5*IF(A48="Внешний вендор",G48&lt;&gt;"",TRUE))/100)</f>
        <v/>
      </c>
      <c r="AV48" s="21" t="n"/>
      <c r="AW48" s="21" t="n"/>
    </row>
    <row r="49">
      <c r="A49" s="25" t="n"/>
      <c r="B49" s="25" t="n"/>
      <c r="C49" s="25" t="n"/>
      <c r="D49" s="3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2">
        <f>IF($B49="","",COUNTIF('Портфолио'!$A$5:$A$205,$B49))</f>
        <v/>
      </c>
      <c r="AT49" s="22">
        <f>IF($B49="","",COUNTIF('Решения'!$A$5:$A$205,$B49))</f>
        <v/>
      </c>
      <c r="AU49" s="36">
        <f>IF($B49="","",(15*(R49&lt;&gt;"")+15*(COUNTIF(T49:AE49,"Да")&gt;0)+15*AND(J49&lt;&gt;"",OR(L49&lt;&gt;"",M49&lt;&gt;""))+15*(AS49&gt;0)+10*(AT49&gt;0)+10*(COUNTIF(AM49:AR49,"Да")&gt;0)+10*IF(A49="Внешний вендор",D49&lt;&gt;"",E49&lt;&gt;"")+5*(I49&lt;&gt;"")+5*IF(A49="Внешний вендор",G49&lt;&gt;"",TRUE))/100)</f>
        <v/>
      </c>
      <c r="AV49" s="21" t="n"/>
      <c r="AW49" s="21" t="n"/>
    </row>
    <row r="50">
      <c r="A50" s="25" t="n"/>
      <c r="B50" s="25" t="n"/>
      <c r="C50" s="25" t="n"/>
      <c r="D50" s="3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2">
        <f>IF($B50="","",COUNTIF('Портфолио'!$A$5:$A$205,$B50))</f>
        <v/>
      </c>
      <c r="AT50" s="22">
        <f>IF($B50="","",COUNTIF('Решения'!$A$5:$A$205,$B50))</f>
        <v/>
      </c>
      <c r="AU50" s="36">
        <f>IF($B50="","",(15*(R50&lt;&gt;"")+15*(COUNTIF(T50:AE50,"Да")&gt;0)+15*AND(J50&lt;&gt;"",OR(L50&lt;&gt;"",M50&lt;&gt;""))+15*(AS50&gt;0)+10*(AT50&gt;0)+10*(COUNTIF(AM50:AR50,"Да")&gt;0)+10*IF(A50="Внешний вендор",D50&lt;&gt;"",E50&lt;&gt;"")+5*(I50&lt;&gt;"")+5*IF(A50="Внешний вендор",G50&lt;&gt;"",TRUE))/100)</f>
        <v/>
      </c>
      <c r="AV50" s="21" t="n"/>
      <c r="AW50" s="21" t="n"/>
    </row>
    <row r="51">
      <c r="A51" s="25" t="n"/>
      <c r="B51" s="25" t="n"/>
      <c r="C51" s="25" t="n"/>
      <c r="D51" s="3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2">
        <f>IF($B51="","",COUNTIF('Портфолио'!$A$5:$A$205,$B51))</f>
        <v/>
      </c>
      <c r="AT51" s="22">
        <f>IF($B51="","",COUNTIF('Решения'!$A$5:$A$205,$B51))</f>
        <v/>
      </c>
      <c r="AU51" s="36">
        <f>IF($B51="","",(15*(R51&lt;&gt;"")+15*(COUNTIF(T51:AE51,"Да")&gt;0)+15*AND(J51&lt;&gt;"",OR(L51&lt;&gt;"",M51&lt;&gt;""))+15*(AS51&gt;0)+10*(AT51&gt;0)+10*(COUNTIF(AM51:AR51,"Да")&gt;0)+10*IF(A51="Внешний вендор",D51&lt;&gt;"",E51&lt;&gt;"")+5*(I51&lt;&gt;"")+5*IF(A51="Внешний вендор",G51&lt;&gt;"",TRUE))/100)</f>
        <v/>
      </c>
      <c r="AV51" s="21" t="n"/>
      <c r="AW51" s="21" t="n"/>
    </row>
    <row r="52">
      <c r="A52" s="25" t="n"/>
      <c r="B52" s="25" t="n"/>
      <c r="C52" s="25" t="n"/>
      <c r="D52" s="3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2">
        <f>IF($B52="","",COUNTIF('Портфолио'!$A$5:$A$205,$B52))</f>
        <v/>
      </c>
      <c r="AT52" s="22">
        <f>IF($B52="","",COUNTIF('Решения'!$A$5:$A$205,$B52))</f>
        <v/>
      </c>
      <c r="AU52" s="36">
        <f>IF($B52="","",(15*(R52&lt;&gt;"")+15*(COUNTIF(T52:AE52,"Да")&gt;0)+15*AND(J52&lt;&gt;"",OR(L52&lt;&gt;"",M52&lt;&gt;""))+15*(AS52&gt;0)+10*(AT52&gt;0)+10*(COUNTIF(AM52:AR52,"Да")&gt;0)+10*IF(A52="Внешний вендор",D52&lt;&gt;"",E52&lt;&gt;"")+5*(I52&lt;&gt;"")+5*IF(A52="Внешний вендор",G52&lt;&gt;"",TRUE))/100)</f>
        <v/>
      </c>
      <c r="AV52" s="21" t="n"/>
      <c r="AW52" s="21" t="n"/>
    </row>
    <row r="53">
      <c r="A53" s="25" t="n"/>
      <c r="B53" s="25" t="n"/>
      <c r="C53" s="25" t="n"/>
      <c r="D53" s="3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2">
        <f>IF($B53="","",COUNTIF('Портфолио'!$A$5:$A$205,$B53))</f>
        <v/>
      </c>
      <c r="AT53" s="22">
        <f>IF($B53="","",COUNTIF('Решения'!$A$5:$A$205,$B53))</f>
        <v/>
      </c>
      <c r="AU53" s="36">
        <f>IF($B53="","",(15*(R53&lt;&gt;"")+15*(COUNTIF(T53:AE53,"Да")&gt;0)+15*AND(J53&lt;&gt;"",OR(L53&lt;&gt;"",M53&lt;&gt;""))+15*(AS53&gt;0)+10*(AT53&gt;0)+10*(COUNTIF(AM53:AR53,"Да")&gt;0)+10*IF(A53="Внешний вендор",D53&lt;&gt;"",E53&lt;&gt;"")+5*(I53&lt;&gt;"")+5*IF(A53="Внешний вендор",G53&lt;&gt;"",TRUE))/100)</f>
        <v/>
      </c>
      <c r="AV53" s="21" t="n"/>
      <c r="AW53" s="21" t="n"/>
    </row>
    <row r="54">
      <c r="A54" s="25" t="n"/>
      <c r="B54" s="25" t="n"/>
      <c r="C54" s="25" t="n"/>
      <c r="D54" s="3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2">
        <f>IF($B54="","",COUNTIF('Портфолио'!$A$5:$A$205,$B54))</f>
        <v/>
      </c>
      <c r="AT54" s="22">
        <f>IF($B54="","",COUNTIF('Решения'!$A$5:$A$205,$B54))</f>
        <v/>
      </c>
      <c r="AU54" s="36">
        <f>IF($B54="","",(15*(R54&lt;&gt;"")+15*(COUNTIF(T54:AE54,"Да")&gt;0)+15*AND(J54&lt;&gt;"",OR(L54&lt;&gt;"",M54&lt;&gt;""))+15*(AS54&gt;0)+10*(AT54&gt;0)+10*(COUNTIF(AM54:AR54,"Да")&gt;0)+10*IF(A54="Внешний вендор",D54&lt;&gt;"",E54&lt;&gt;"")+5*(I54&lt;&gt;"")+5*IF(A54="Внешний вендор",G54&lt;&gt;"",TRUE))/100)</f>
        <v/>
      </c>
      <c r="AV54" s="21" t="n"/>
      <c r="AW54" s="21" t="n"/>
    </row>
    <row r="55">
      <c r="A55" s="25" t="n"/>
      <c r="B55" s="25" t="n"/>
      <c r="C55" s="25" t="n"/>
      <c r="D55" s="3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2">
        <f>IF($B55="","",COUNTIF('Портфолио'!$A$5:$A$205,$B55))</f>
        <v/>
      </c>
      <c r="AT55" s="22">
        <f>IF($B55="","",COUNTIF('Решения'!$A$5:$A$205,$B55))</f>
        <v/>
      </c>
      <c r="AU55" s="36">
        <f>IF($B55="","",(15*(R55&lt;&gt;"")+15*(COUNTIF(T55:AE55,"Да")&gt;0)+15*AND(J55&lt;&gt;"",OR(L55&lt;&gt;"",M55&lt;&gt;""))+15*(AS55&gt;0)+10*(AT55&gt;0)+10*(COUNTIF(AM55:AR55,"Да")&gt;0)+10*IF(A55="Внешний вендор",D55&lt;&gt;"",E55&lt;&gt;"")+5*(I55&lt;&gt;"")+5*IF(A55="Внешний вендор",G55&lt;&gt;"",TRUE))/100)</f>
        <v/>
      </c>
      <c r="AV55" s="21" t="n"/>
      <c r="AW55" s="21" t="n"/>
    </row>
    <row r="56">
      <c r="A56" s="25" t="n"/>
      <c r="B56" s="25" t="n"/>
      <c r="C56" s="25" t="n"/>
      <c r="D56" s="3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2">
        <f>IF($B56="","",COUNTIF('Портфолио'!$A$5:$A$205,$B56))</f>
        <v/>
      </c>
      <c r="AT56" s="22">
        <f>IF($B56="","",COUNTIF('Решения'!$A$5:$A$205,$B56))</f>
        <v/>
      </c>
      <c r="AU56" s="36">
        <f>IF($B56="","",(15*(R56&lt;&gt;"")+15*(COUNTIF(T56:AE56,"Да")&gt;0)+15*AND(J56&lt;&gt;"",OR(L56&lt;&gt;"",M56&lt;&gt;""))+15*(AS56&gt;0)+10*(AT56&gt;0)+10*(COUNTIF(AM56:AR56,"Да")&gt;0)+10*IF(A56="Внешний вендор",D56&lt;&gt;"",E56&lt;&gt;"")+5*(I56&lt;&gt;"")+5*IF(A56="Внешний вендор",G56&lt;&gt;"",TRUE))/100)</f>
        <v/>
      </c>
      <c r="AV56" s="21" t="n"/>
      <c r="AW56" s="21" t="n"/>
    </row>
    <row r="57">
      <c r="A57" s="25" t="n"/>
      <c r="B57" s="25" t="n"/>
      <c r="C57" s="25" t="n"/>
      <c r="D57" s="3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2">
        <f>IF($B57="","",COUNTIF('Портфолио'!$A$5:$A$205,$B57))</f>
        <v/>
      </c>
      <c r="AT57" s="22">
        <f>IF($B57="","",COUNTIF('Решения'!$A$5:$A$205,$B57))</f>
        <v/>
      </c>
      <c r="AU57" s="36">
        <f>IF($B57="","",(15*(R57&lt;&gt;"")+15*(COUNTIF(T57:AE57,"Да")&gt;0)+15*AND(J57&lt;&gt;"",OR(L57&lt;&gt;"",M57&lt;&gt;""))+15*(AS57&gt;0)+10*(AT57&gt;0)+10*(COUNTIF(AM57:AR57,"Да")&gt;0)+10*IF(A57="Внешний вендор",D57&lt;&gt;"",E57&lt;&gt;"")+5*(I57&lt;&gt;"")+5*IF(A57="Внешний вендор",G57&lt;&gt;"",TRUE))/100)</f>
        <v/>
      </c>
      <c r="AV57" s="21" t="n"/>
      <c r="AW57" s="21" t="n"/>
    </row>
    <row r="58">
      <c r="A58" s="25" t="n"/>
      <c r="B58" s="25" t="n"/>
      <c r="C58" s="25" t="n"/>
      <c r="D58" s="3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2">
        <f>IF($B58="","",COUNTIF('Портфолио'!$A$5:$A$205,$B58))</f>
        <v/>
      </c>
      <c r="AT58" s="22">
        <f>IF($B58="","",COUNTIF('Решения'!$A$5:$A$205,$B58))</f>
        <v/>
      </c>
      <c r="AU58" s="36">
        <f>IF($B58="","",(15*(R58&lt;&gt;"")+15*(COUNTIF(T58:AE58,"Да")&gt;0)+15*AND(J58&lt;&gt;"",OR(L58&lt;&gt;"",M58&lt;&gt;""))+15*(AS58&gt;0)+10*(AT58&gt;0)+10*(COUNTIF(AM58:AR58,"Да")&gt;0)+10*IF(A58="Внешний вендор",D58&lt;&gt;"",E58&lt;&gt;"")+5*(I58&lt;&gt;"")+5*IF(A58="Внешний вендор",G58&lt;&gt;"",TRUE))/100)</f>
        <v/>
      </c>
      <c r="AV58" s="21" t="n"/>
      <c r="AW58" s="21" t="n"/>
    </row>
    <row r="59">
      <c r="A59" s="25" t="n"/>
      <c r="B59" s="25" t="n"/>
      <c r="C59" s="25" t="n"/>
      <c r="D59" s="3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2">
        <f>IF($B59="","",COUNTIF('Портфолио'!$A$5:$A$205,$B59))</f>
        <v/>
      </c>
      <c r="AT59" s="22">
        <f>IF($B59="","",COUNTIF('Решения'!$A$5:$A$205,$B59))</f>
        <v/>
      </c>
      <c r="AU59" s="36">
        <f>IF($B59="","",(15*(R59&lt;&gt;"")+15*(COUNTIF(T59:AE59,"Да")&gt;0)+15*AND(J59&lt;&gt;"",OR(L59&lt;&gt;"",M59&lt;&gt;""))+15*(AS59&gt;0)+10*(AT59&gt;0)+10*(COUNTIF(AM59:AR59,"Да")&gt;0)+10*IF(A59="Внешний вендор",D59&lt;&gt;"",E59&lt;&gt;"")+5*(I59&lt;&gt;"")+5*IF(A59="Внешний вендор",G59&lt;&gt;"",TRUE))/100)</f>
        <v/>
      </c>
      <c r="AV59" s="21" t="n"/>
      <c r="AW59" s="21" t="n"/>
    </row>
    <row r="60">
      <c r="A60" s="25" t="n"/>
      <c r="B60" s="25" t="n"/>
      <c r="C60" s="25" t="n"/>
      <c r="D60" s="3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2">
        <f>IF($B60="","",COUNTIF('Портфолио'!$A$5:$A$205,$B60))</f>
        <v/>
      </c>
      <c r="AT60" s="22">
        <f>IF($B60="","",COUNTIF('Решения'!$A$5:$A$205,$B60))</f>
        <v/>
      </c>
      <c r="AU60" s="36">
        <f>IF($B60="","",(15*(R60&lt;&gt;"")+15*(COUNTIF(T60:AE60,"Да")&gt;0)+15*AND(J60&lt;&gt;"",OR(L60&lt;&gt;"",M60&lt;&gt;""))+15*(AS60&gt;0)+10*(AT60&gt;0)+10*(COUNTIF(AM60:AR60,"Да")&gt;0)+10*IF(A60="Внешний вендор",D60&lt;&gt;"",E60&lt;&gt;"")+5*(I60&lt;&gt;"")+5*IF(A60="Внешний вендор",G60&lt;&gt;"",TRUE))/100)</f>
        <v/>
      </c>
      <c r="AV60" s="21" t="n"/>
      <c r="AW60" s="21" t="n"/>
    </row>
    <row r="61">
      <c r="A61" s="25" t="n"/>
      <c r="B61" s="25" t="n"/>
      <c r="C61" s="25" t="n"/>
      <c r="D61" s="3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2">
        <f>IF($B61="","",COUNTIF('Портфолио'!$A$5:$A$205,$B61))</f>
        <v/>
      </c>
      <c r="AT61" s="22">
        <f>IF($B61="","",COUNTIF('Решения'!$A$5:$A$205,$B61))</f>
        <v/>
      </c>
      <c r="AU61" s="36">
        <f>IF($B61="","",(15*(R61&lt;&gt;"")+15*(COUNTIF(T61:AE61,"Да")&gt;0)+15*AND(J61&lt;&gt;"",OR(L61&lt;&gt;"",M61&lt;&gt;""))+15*(AS61&gt;0)+10*(AT61&gt;0)+10*(COUNTIF(AM61:AR61,"Да")&gt;0)+10*IF(A61="Внешний вендор",D61&lt;&gt;"",E61&lt;&gt;"")+5*(I61&lt;&gt;"")+5*IF(A61="Внешний вендор",G61&lt;&gt;"",TRUE))/100)</f>
        <v/>
      </c>
      <c r="AV61" s="21" t="n"/>
      <c r="AW61" s="21" t="n"/>
    </row>
    <row r="62">
      <c r="A62" s="25" t="n"/>
      <c r="B62" s="25" t="n"/>
      <c r="C62" s="25" t="n"/>
      <c r="D62" s="3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2">
        <f>IF($B62="","",COUNTIF('Портфолио'!$A$5:$A$205,$B62))</f>
        <v/>
      </c>
      <c r="AT62" s="22">
        <f>IF($B62="","",COUNTIF('Решения'!$A$5:$A$205,$B62))</f>
        <v/>
      </c>
      <c r="AU62" s="36">
        <f>IF($B62="","",(15*(R62&lt;&gt;"")+15*(COUNTIF(T62:AE62,"Да")&gt;0)+15*AND(J62&lt;&gt;"",OR(L62&lt;&gt;"",M62&lt;&gt;""))+15*(AS62&gt;0)+10*(AT62&gt;0)+10*(COUNTIF(AM62:AR62,"Да")&gt;0)+10*IF(A62="Внешний вендор",D62&lt;&gt;"",E62&lt;&gt;"")+5*(I62&lt;&gt;"")+5*IF(A62="Внешний вендор",G62&lt;&gt;"",TRUE))/100)</f>
        <v/>
      </c>
      <c r="AV62" s="21" t="n"/>
      <c r="AW62" s="21" t="n"/>
    </row>
    <row r="63">
      <c r="A63" s="25" t="n"/>
      <c r="B63" s="25" t="n"/>
      <c r="C63" s="25" t="n"/>
      <c r="D63" s="3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2">
        <f>IF($B63="","",COUNTIF('Портфолио'!$A$5:$A$205,$B63))</f>
        <v/>
      </c>
      <c r="AT63" s="22">
        <f>IF($B63="","",COUNTIF('Решения'!$A$5:$A$205,$B63))</f>
        <v/>
      </c>
      <c r="AU63" s="36">
        <f>IF($B63="","",(15*(R63&lt;&gt;"")+15*(COUNTIF(T63:AE63,"Да")&gt;0)+15*AND(J63&lt;&gt;"",OR(L63&lt;&gt;"",M63&lt;&gt;""))+15*(AS63&gt;0)+10*(AT63&gt;0)+10*(COUNTIF(AM63:AR63,"Да")&gt;0)+10*IF(A63="Внешний вендор",D63&lt;&gt;"",E63&lt;&gt;"")+5*(I63&lt;&gt;"")+5*IF(A63="Внешний вендор",G63&lt;&gt;"",TRUE))/100)</f>
        <v/>
      </c>
      <c r="AV63" s="21" t="n"/>
      <c r="AW63" s="21" t="n"/>
    </row>
    <row r="64">
      <c r="A64" s="25" t="n"/>
      <c r="B64" s="25" t="n"/>
      <c r="C64" s="25" t="n"/>
      <c r="D64" s="3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2">
        <f>IF($B64="","",COUNTIF('Портфолио'!$A$5:$A$205,$B64))</f>
        <v/>
      </c>
      <c r="AT64" s="22">
        <f>IF($B64="","",COUNTIF('Решения'!$A$5:$A$205,$B64))</f>
        <v/>
      </c>
      <c r="AU64" s="36">
        <f>IF($B64="","",(15*(R64&lt;&gt;"")+15*(COUNTIF(T64:AE64,"Да")&gt;0)+15*AND(J64&lt;&gt;"",OR(L64&lt;&gt;"",M64&lt;&gt;""))+15*(AS64&gt;0)+10*(AT64&gt;0)+10*(COUNTIF(AM64:AR64,"Да")&gt;0)+10*IF(A64="Внешний вендор",D64&lt;&gt;"",E64&lt;&gt;"")+5*(I64&lt;&gt;"")+5*IF(A64="Внешний вендор",G64&lt;&gt;"",TRUE))/100)</f>
        <v/>
      </c>
      <c r="AV64" s="21" t="n"/>
      <c r="AW64" s="21" t="n"/>
    </row>
    <row r="65">
      <c r="A65" s="25" t="n"/>
      <c r="B65" s="25" t="n"/>
      <c r="C65" s="25" t="n"/>
      <c r="D65" s="3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2">
        <f>IF($B65="","",COUNTIF('Портфолио'!$A$5:$A$205,$B65))</f>
        <v/>
      </c>
      <c r="AT65" s="22">
        <f>IF($B65="","",COUNTIF('Решения'!$A$5:$A$205,$B65))</f>
        <v/>
      </c>
      <c r="AU65" s="36">
        <f>IF($B65="","",(15*(R65&lt;&gt;"")+15*(COUNTIF(T65:AE65,"Да")&gt;0)+15*AND(J65&lt;&gt;"",OR(L65&lt;&gt;"",M65&lt;&gt;""))+15*(AS65&gt;0)+10*(AT65&gt;0)+10*(COUNTIF(AM65:AR65,"Да")&gt;0)+10*IF(A65="Внешний вендор",D65&lt;&gt;"",E65&lt;&gt;"")+5*(I65&lt;&gt;"")+5*IF(A65="Внешний вендор",G65&lt;&gt;"",TRUE))/100)</f>
        <v/>
      </c>
      <c r="AV65" s="21" t="n"/>
      <c r="AW65" s="21" t="n"/>
    </row>
    <row r="66">
      <c r="A66" s="25" t="n"/>
      <c r="B66" s="25" t="n"/>
      <c r="C66" s="25" t="n"/>
      <c r="D66" s="3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2">
        <f>IF($B66="","",COUNTIF('Портфолио'!$A$5:$A$205,$B66))</f>
        <v/>
      </c>
      <c r="AT66" s="22">
        <f>IF($B66="","",COUNTIF('Решения'!$A$5:$A$205,$B66))</f>
        <v/>
      </c>
      <c r="AU66" s="36">
        <f>IF($B66="","",(15*(R66&lt;&gt;"")+15*(COUNTIF(T66:AE66,"Да")&gt;0)+15*AND(J66&lt;&gt;"",OR(L66&lt;&gt;"",M66&lt;&gt;""))+15*(AS66&gt;0)+10*(AT66&gt;0)+10*(COUNTIF(AM66:AR66,"Да")&gt;0)+10*IF(A66="Внешний вендор",D66&lt;&gt;"",E66&lt;&gt;"")+5*(I66&lt;&gt;"")+5*IF(A66="Внешний вендор",G66&lt;&gt;"",TRUE))/100)</f>
        <v/>
      </c>
      <c r="AV66" s="21" t="n"/>
      <c r="AW66" s="21" t="n"/>
    </row>
    <row r="67">
      <c r="A67" s="25" t="n"/>
      <c r="B67" s="25" t="n"/>
      <c r="C67" s="25" t="n"/>
      <c r="D67" s="3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2">
        <f>IF($B67="","",COUNTIF('Портфолио'!$A$5:$A$205,$B67))</f>
        <v/>
      </c>
      <c r="AT67" s="22">
        <f>IF($B67="","",COUNTIF('Решения'!$A$5:$A$205,$B67))</f>
        <v/>
      </c>
      <c r="AU67" s="36">
        <f>IF($B67="","",(15*(R67&lt;&gt;"")+15*(COUNTIF(T67:AE67,"Да")&gt;0)+15*AND(J67&lt;&gt;"",OR(L67&lt;&gt;"",M67&lt;&gt;""))+15*(AS67&gt;0)+10*(AT67&gt;0)+10*(COUNTIF(AM67:AR67,"Да")&gt;0)+10*IF(A67="Внешний вендор",D67&lt;&gt;"",E67&lt;&gt;"")+5*(I67&lt;&gt;"")+5*IF(A67="Внешний вендор",G67&lt;&gt;"",TRUE))/100)</f>
        <v/>
      </c>
      <c r="AV67" s="21" t="n"/>
      <c r="AW67" s="21" t="n"/>
    </row>
    <row r="68">
      <c r="A68" s="25" t="n"/>
      <c r="B68" s="25" t="n"/>
      <c r="C68" s="25" t="n"/>
      <c r="D68" s="3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2">
        <f>IF($B68="","",COUNTIF('Портфолио'!$A$5:$A$205,$B68))</f>
        <v/>
      </c>
      <c r="AT68" s="22">
        <f>IF($B68="","",COUNTIF('Решения'!$A$5:$A$205,$B68))</f>
        <v/>
      </c>
      <c r="AU68" s="36">
        <f>IF($B68="","",(15*(R68&lt;&gt;"")+15*(COUNTIF(T68:AE68,"Да")&gt;0)+15*AND(J68&lt;&gt;"",OR(L68&lt;&gt;"",M68&lt;&gt;""))+15*(AS68&gt;0)+10*(AT68&gt;0)+10*(COUNTIF(AM68:AR68,"Да")&gt;0)+10*IF(A68="Внешний вендор",D68&lt;&gt;"",E68&lt;&gt;"")+5*(I68&lt;&gt;"")+5*IF(A68="Внешний вендор",G68&lt;&gt;"",TRUE))/100)</f>
        <v/>
      </c>
      <c r="AV68" s="21" t="n"/>
      <c r="AW68" s="21" t="n"/>
    </row>
    <row r="69">
      <c r="A69" s="25" t="n"/>
      <c r="B69" s="25" t="n"/>
      <c r="C69" s="25" t="n"/>
      <c r="D69" s="3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2">
        <f>IF($B69="","",COUNTIF('Портфолио'!$A$5:$A$205,$B69))</f>
        <v/>
      </c>
      <c r="AT69" s="22">
        <f>IF($B69="","",COUNTIF('Решения'!$A$5:$A$205,$B69))</f>
        <v/>
      </c>
      <c r="AU69" s="36">
        <f>IF($B69="","",(15*(R69&lt;&gt;"")+15*(COUNTIF(T69:AE69,"Да")&gt;0)+15*AND(J69&lt;&gt;"",OR(L69&lt;&gt;"",M69&lt;&gt;""))+15*(AS69&gt;0)+10*(AT69&gt;0)+10*(COUNTIF(AM69:AR69,"Да")&gt;0)+10*IF(A69="Внешний вендор",D69&lt;&gt;"",E69&lt;&gt;"")+5*(I69&lt;&gt;"")+5*IF(A69="Внешний вендор",G69&lt;&gt;"",TRUE))/100)</f>
        <v/>
      </c>
      <c r="AV69" s="21" t="n"/>
      <c r="AW69" s="21" t="n"/>
    </row>
    <row r="70">
      <c r="A70" s="25" t="n"/>
      <c r="B70" s="25" t="n"/>
      <c r="C70" s="25" t="n"/>
      <c r="D70" s="3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2">
        <f>IF($B70="","",COUNTIF('Портфолио'!$A$5:$A$205,$B70))</f>
        <v/>
      </c>
      <c r="AT70" s="22">
        <f>IF($B70="","",COUNTIF('Решения'!$A$5:$A$205,$B70))</f>
        <v/>
      </c>
      <c r="AU70" s="36">
        <f>IF($B70="","",(15*(R70&lt;&gt;"")+15*(COUNTIF(T70:AE70,"Да")&gt;0)+15*AND(J70&lt;&gt;"",OR(L70&lt;&gt;"",M70&lt;&gt;""))+15*(AS70&gt;0)+10*(AT70&gt;0)+10*(COUNTIF(AM70:AR70,"Да")&gt;0)+10*IF(A70="Внешний вендор",D70&lt;&gt;"",E70&lt;&gt;"")+5*(I70&lt;&gt;"")+5*IF(A70="Внешний вендор",G70&lt;&gt;"",TRUE))/100)</f>
        <v/>
      </c>
      <c r="AV70" s="21" t="n"/>
      <c r="AW70" s="21" t="n"/>
    </row>
    <row r="71">
      <c r="A71" s="25" t="n"/>
      <c r="B71" s="25" t="n"/>
      <c r="C71" s="25" t="n"/>
      <c r="D71" s="3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2">
        <f>IF($B71="","",COUNTIF('Портфолио'!$A$5:$A$205,$B71))</f>
        <v/>
      </c>
      <c r="AT71" s="22">
        <f>IF($B71="","",COUNTIF('Решения'!$A$5:$A$205,$B71))</f>
        <v/>
      </c>
      <c r="AU71" s="36">
        <f>IF($B71="","",(15*(R71&lt;&gt;"")+15*(COUNTIF(T71:AE71,"Да")&gt;0)+15*AND(J71&lt;&gt;"",OR(L71&lt;&gt;"",M71&lt;&gt;""))+15*(AS71&gt;0)+10*(AT71&gt;0)+10*(COUNTIF(AM71:AR71,"Да")&gt;0)+10*IF(A71="Внешний вендор",D71&lt;&gt;"",E71&lt;&gt;"")+5*(I71&lt;&gt;"")+5*IF(A71="Внешний вендор",G71&lt;&gt;"",TRUE))/100)</f>
        <v/>
      </c>
      <c r="AV71" s="21" t="n"/>
      <c r="AW71" s="21" t="n"/>
    </row>
    <row r="72">
      <c r="A72" s="25" t="n"/>
      <c r="B72" s="25" t="n"/>
      <c r="C72" s="25" t="n"/>
      <c r="D72" s="3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2">
        <f>IF($B72="","",COUNTIF('Портфолио'!$A$5:$A$205,$B72))</f>
        <v/>
      </c>
      <c r="AT72" s="22">
        <f>IF($B72="","",COUNTIF('Решения'!$A$5:$A$205,$B72))</f>
        <v/>
      </c>
      <c r="AU72" s="36">
        <f>IF($B72="","",(15*(R72&lt;&gt;"")+15*(COUNTIF(T72:AE72,"Да")&gt;0)+15*AND(J72&lt;&gt;"",OR(L72&lt;&gt;"",M72&lt;&gt;""))+15*(AS72&gt;0)+10*(AT72&gt;0)+10*(COUNTIF(AM72:AR72,"Да")&gt;0)+10*IF(A72="Внешний вендор",D72&lt;&gt;"",E72&lt;&gt;"")+5*(I72&lt;&gt;"")+5*IF(A72="Внешний вендор",G72&lt;&gt;"",TRUE))/100)</f>
        <v/>
      </c>
      <c r="AV72" s="21" t="n"/>
      <c r="AW72" s="21" t="n"/>
    </row>
    <row r="73">
      <c r="A73" s="25" t="n"/>
      <c r="B73" s="25" t="n"/>
      <c r="C73" s="25" t="n"/>
      <c r="D73" s="3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2">
        <f>IF($B73="","",COUNTIF('Портфолио'!$A$5:$A$205,$B73))</f>
        <v/>
      </c>
      <c r="AT73" s="22">
        <f>IF($B73="","",COUNTIF('Решения'!$A$5:$A$205,$B73))</f>
        <v/>
      </c>
      <c r="AU73" s="36">
        <f>IF($B73="","",(15*(R73&lt;&gt;"")+15*(COUNTIF(T73:AE73,"Да")&gt;0)+15*AND(J73&lt;&gt;"",OR(L73&lt;&gt;"",M73&lt;&gt;""))+15*(AS73&gt;0)+10*(AT73&gt;0)+10*(COUNTIF(AM73:AR73,"Да")&gt;0)+10*IF(A73="Внешний вендор",D73&lt;&gt;"",E73&lt;&gt;"")+5*(I73&lt;&gt;"")+5*IF(A73="Внешний вендор",G73&lt;&gt;"",TRUE))/100)</f>
        <v/>
      </c>
      <c r="AV73" s="21" t="n"/>
      <c r="AW73" s="21" t="n"/>
    </row>
    <row r="74">
      <c r="A74" s="25" t="n"/>
      <c r="B74" s="25" t="n"/>
      <c r="C74" s="25" t="n"/>
      <c r="D74" s="3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2">
        <f>IF($B74="","",COUNTIF('Портфолио'!$A$5:$A$205,$B74))</f>
        <v/>
      </c>
      <c r="AT74" s="22">
        <f>IF($B74="","",COUNTIF('Решения'!$A$5:$A$205,$B74))</f>
        <v/>
      </c>
      <c r="AU74" s="36">
        <f>IF($B74="","",(15*(R74&lt;&gt;"")+15*(COUNTIF(T74:AE74,"Да")&gt;0)+15*AND(J74&lt;&gt;"",OR(L74&lt;&gt;"",M74&lt;&gt;""))+15*(AS74&gt;0)+10*(AT74&gt;0)+10*(COUNTIF(AM74:AR74,"Да")&gt;0)+10*IF(A74="Внешний вендор",D74&lt;&gt;"",E74&lt;&gt;"")+5*(I74&lt;&gt;"")+5*IF(A74="Внешний вендор",G74&lt;&gt;"",TRUE))/100)</f>
        <v/>
      </c>
      <c r="AV74" s="21" t="n"/>
      <c r="AW74" s="21" t="n"/>
    </row>
    <row r="75">
      <c r="A75" s="25" t="n"/>
      <c r="B75" s="25" t="n"/>
      <c r="C75" s="25" t="n"/>
      <c r="D75" s="3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2">
        <f>IF($B75="","",COUNTIF('Портфолио'!$A$5:$A$205,$B75))</f>
        <v/>
      </c>
      <c r="AT75" s="22">
        <f>IF($B75="","",COUNTIF('Решения'!$A$5:$A$205,$B75))</f>
        <v/>
      </c>
      <c r="AU75" s="36">
        <f>IF($B75="","",(15*(R75&lt;&gt;"")+15*(COUNTIF(T75:AE75,"Да")&gt;0)+15*AND(J75&lt;&gt;"",OR(L75&lt;&gt;"",M75&lt;&gt;""))+15*(AS75&gt;0)+10*(AT75&gt;0)+10*(COUNTIF(AM75:AR75,"Да")&gt;0)+10*IF(A75="Внешний вендор",D75&lt;&gt;"",E75&lt;&gt;"")+5*(I75&lt;&gt;"")+5*IF(A75="Внешний вендор",G75&lt;&gt;"",TRUE))/100)</f>
        <v/>
      </c>
      <c r="AV75" s="21" t="n"/>
      <c r="AW75" s="21" t="n"/>
    </row>
    <row r="76">
      <c r="A76" s="25" t="n"/>
      <c r="B76" s="25" t="n"/>
      <c r="C76" s="25" t="n"/>
      <c r="D76" s="3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2">
        <f>IF($B76="","",COUNTIF('Портфолио'!$A$5:$A$205,$B76))</f>
        <v/>
      </c>
      <c r="AT76" s="22">
        <f>IF($B76="","",COUNTIF('Решения'!$A$5:$A$205,$B76))</f>
        <v/>
      </c>
      <c r="AU76" s="36">
        <f>IF($B76="","",(15*(R76&lt;&gt;"")+15*(COUNTIF(T76:AE76,"Да")&gt;0)+15*AND(J76&lt;&gt;"",OR(L76&lt;&gt;"",M76&lt;&gt;""))+15*(AS76&gt;0)+10*(AT76&gt;0)+10*(COUNTIF(AM76:AR76,"Да")&gt;0)+10*IF(A76="Внешний вендор",D76&lt;&gt;"",E76&lt;&gt;"")+5*(I76&lt;&gt;"")+5*IF(A76="Внешний вендор",G76&lt;&gt;"",TRUE))/100)</f>
        <v/>
      </c>
      <c r="AV76" s="21" t="n"/>
      <c r="AW76" s="21" t="n"/>
    </row>
    <row r="77">
      <c r="A77" s="25" t="n"/>
      <c r="B77" s="25" t="n"/>
      <c r="C77" s="25" t="n"/>
      <c r="D77" s="3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2">
        <f>IF($B77="","",COUNTIF('Портфолио'!$A$5:$A$205,$B77))</f>
        <v/>
      </c>
      <c r="AT77" s="22">
        <f>IF($B77="","",COUNTIF('Решения'!$A$5:$A$205,$B77))</f>
        <v/>
      </c>
      <c r="AU77" s="36">
        <f>IF($B77="","",(15*(R77&lt;&gt;"")+15*(COUNTIF(T77:AE77,"Да")&gt;0)+15*AND(J77&lt;&gt;"",OR(L77&lt;&gt;"",M77&lt;&gt;""))+15*(AS77&gt;0)+10*(AT77&gt;0)+10*(COUNTIF(AM77:AR77,"Да")&gt;0)+10*IF(A77="Внешний вендор",D77&lt;&gt;"",E77&lt;&gt;"")+5*(I77&lt;&gt;"")+5*IF(A77="Внешний вендор",G77&lt;&gt;"",TRUE))/100)</f>
        <v/>
      </c>
      <c r="AV77" s="21" t="n"/>
      <c r="AW77" s="21" t="n"/>
    </row>
    <row r="78">
      <c r="A78" s="25" t="n"/>
      <c r="B78" s="25" t="n"/>
      <c r="C78" s="25" t="n"/>
      <c r="D78" s="3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2">
        <f>IF($B78="","",COUNTIF('Портфолио'!$A$5:$A$205,$B78))</f>
        <v/>
      </c>
      <c r="AT78" s="22">
        <f>IF($B78="","",COUNTIF('Решения'!$A$5:$A$205,$B78))</f>
        <v/>
      </c>
      <c r="AU78" s="36">
        <f>IF($B78="","",(15*(R78&lt;&gt;"")+15*(COUNTIF(T78:AE78,"Да")&gt;0)+15*AND(J78&lt;&gt;"",OR(L78&lt;&gt;"",M78&lt;&gt;""))+15*(AS78&gt;0)+10*(AT78&gt;0)+10*(COUNTIF(AM78:AR78,"Да")&gt;0)+10*IF(A78="Внешний вендор",D78&lt;&gt;"",E78&lt;&gt;"")+5*(I78&lt;&gt;"")+5*IF(A78="Внешний вендор",G78&lt;&gt;"",TRUE))/100)</f>
        <v/>
      </c>
      <c r="AV78" s="21" t="n"/>
      <c r="AW78" s="21" t="n"/>
    </row>
    <row r="79">
      <c r="A79" s="25" t="n"/>
      <c r="B79" s="25" t="n"/>
      <c r="C79" s="25" t="n"/>
      <c r="D79" s="3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2">
        <f>IF($B79="","",COUNTIF('Портфолио'!$A$5:$A$205,$B79))</f>
        <v/>
      </c>
      <c r="AT79" s="22">
        <f>IF($B79="","",COUNTIF('Решения'!$A$5:$A$205,$B79))</f>
        <v/>
      </c>
      <c r="AU79" s="36">
        <f>IF($B79="","",(15*(R79&lt;&gt;"")+15*(COUNTIF(T79:AE79,"Да")&gt;0)+15*AND(J79&lt;&gt;"",OR(L79&lt;&gt;"",M79&lt;&gt;""))+15*(AS79&gt;0)+10*(AT79&gt;0)+10*(COUNTIF(AM79:AR79,"Да")&gt;0)+10*IF(A79="Внешний вендор",D79&lt;&gt;"",E79&lt;&gt;"")+5*(I79&lt;&gt;"")+5*IF(A79="Внешний вендор",G79&lt;&gt;"",TRUE))/100)</f>
        <v/>
      </c>
      <c r="AV79" s="21" t="n"/>
      <c r="AW79" s="21" t="n"/>
    </row>
    <row r="80">
      <c r="A80" s="25" t="n"/>
      <c r="B80" s="25" t="n"/>
      <c r="C80" s="25" t="n"/>
      <c r="D80" s="3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  <c r="AS80" s="22">
        <f>IF($B80="","",COUNTIF('Портфолио'!$A$5:$A$205,$B80))</f>
        <v/>
      </c>
      <c r="AT80" s="22">
        <f>IF($B80="","",COUNTIF('Решения'!$A$5:$A$205,$B80))</f>
        <v/>
      </c>
      <c r="AU80" s="36">
        <f>IF($B80="","",(15*(R80&lt;&gt;"")+15*(COUNTIF(T80:AE80,"Да")&gt;0)+15*AND(J80&lt;&gt;"",OR(L80&lt;&gt;"",M80&lt;&gt;""))+15*(AS80&gt;0)+10*(AT80&gt;0)+10*(COUNTIF(AM80:AR80,"Да")&gt;0)+10*IF(A80="Внешний вендор",D80&lt;&gt;"",E80&lt;&gt;"")+5*(I80&lt;&gt;"")+5*IF(A80="Внешний вендор",G80&lt;&gt;"",TRUE))/100)</f>
        <v/>
      </c>
      <c r="AV80" s="21" t="n"/>
      <c r="AW80" s="21" t="n"/>
    </row>
    <row r="81">
      <c r="A81" s="25" t="n"/>
      <c r="B81" s="25" t="n"/>
      <c r="C81" s="25" t="n"/>
      <c r="D81" s="3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  <c r="AL81" s="25" t="n"/>
      <c r="AM81" s="25" t="n"/>
      <c r="AN81" s="25" t="n"/>
      <c r="AO81" s="25" t="n"/>
      <c r="AP81" s="25" t="n"/>
      <c r="AQ81" s="25" t="n"/>
      <c r="AR81" s="25" t="n"/>
      <c r="AS81" s="22">
        <f>IF($B81="","",COUNTIF('Портфолио'!$A$5:$A$205,$B81))</f>
        <v/>
      </c>
      <c r="AT81" s="22">
        <f>IF($B81="","",COUNTIF('Решения'!$A$5:$A$205,$B81))</f>
        <v/>
      </c>
      <c r="AU81" s="36">
        <f>IF($B81="","",(15*(R81&lt;&gt;"")+15*(COUNTIF(T81:AE81,"Да")&gt;0)+15*AND(J81&lt;&gt;"",OR(L81&lt;&gt;"",M81&lt;&gt;""))+15*(AS81&gt;0)+10*(AT81&gt;0)+10*(COUNTIF(AM81:AR81,"Да")&gt;0)+10*IF(A81="Внешний вендор",D81&lt;&gt;"",E81&lt;&gt;"")+5*(I81&lt;&gt;"")+5*IF(A81="Внешний вендор",G81&lt;&gt;"",TRUE))/100)</f>
        <v/>
      </c>
      <c r="AV81" s="21" t="n"/>
      <c r="AW81" s="21" t="n"/>
    </row>
    <row r="82">
      <c r="A82" s="25" t="n"/>
      <c r="B82" s="25" t="n"/>
      <c r="C82" s="25" t="n"/>
      <c r="D82" s="3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  <c r="AS82" s="22">
        <f>IF($B82="","",COUNTIF('Портфолио'!$A$5:$A$205,$B82))</f>
        <v/>
      </c>
      <c r="AT82" s="22">
        <f>IF($B82="","",COUNTIF('Решения'!$A$5:$A$205,$B82))</f>
        <v/>
      </c>
      <c r="AU82" s="36">
        <f>IF($B82="","",(15*(R82&lt;&gt;"")+15*(COUNTIF(T82:AE82,"Да")&gt;0)+15*AND(J82&lt;&gt;"",OR(L82&lt;&gt;"",M82&lt;&gt;""))+15*(AS82&gt;0)+10*(AT82&gt;0)+10*(COUNTIF(AM82:AR82,"Да")&gt;0)+10*IF(A82="Внешний вендор",D82&lt;&gt;"",E82&lt;&gt;"")+5*(I82&lt;&gt;"")+5*IF(A82="Внешний вендор",G82&lt;&gt;"",TRUE))/100)</f>
        <v/>
      </c>
      <c r="AV82" s="21" t="n"/>
      <c r="AW82" s="21" t="n"/>
    </row>
    <row r="83">
      <c r="A83" s="25" t="n"/>
      <c r="B83" s="25" t="n"/>
      <c r="C83" s="25" t="n"/>
      <c r="D83" s="3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  <c r="AE83" s="25" t="n"/>
      <c r="AF83" s="25" t="n"/>
      <c r="AG83" s="25" t="n"/>
      <c r="AH83" s="25" t="n"/>
      <c r="AI83" s="25" t="n"/>
      <c r="AJ83" s="25" t="n"/>
      <c r="AK83" s="25" t="n"/>
      <c r="AL83" s="25" t="n"/>
      <c r="AM83" s="25" t="n"/>
      <c r="AN83" s="25" t="n"/>
      <c r="AO83" s="25" t="n"/>
      <c r="AP83" s="25" t="n"/>
      <c r="AQ83" s="25" t="n"/>
      <c r="AR83" s="25" t="n"/>
      <c r="AS83" s="22">
        <f>IF($B83="","",COUNTIF('Портфолио'!$A$5:$A$205,$B83))</f>
        <v/>
      </c>
      <c r="AT83" s="22">
        <f>IF($B83="","",COUNTIF('Решения'!$A$5:$A$205,$B83))</f>
        <v/>
      </c>
      <c r="AU83" s="36">
        <f>IF($B83="","",(15*(R83&lt;&gt;"")+15*(COUNTIF(T83:AE83,"Да")&gt;0)+15*AND(J83&lt;&gt;"",OR(L83&lt;&gt;"",M83&lt;&gt;""))+15*(AS83&gt;0)+10*(AT83&gt;0)+10*(COUNTIF(AM83:AR83,"Да")&gt;0)+10*IF(A83="Внешний вендор",D83&lt;&gt;"",E83&lt;&gt;"")+5*(I83&lt;&gt;"")+5*IF(A83="Внешний вендор",G83&lt;&gt;"",TRUE))/100)</f>
        <v/>
      </c>
      <c r="AV83" s="21" t="n"/>
      <c r="AW83" s="21" t="n"/>
    </row>
    <row r="84">
      <c r="A84" s="25" t="n"/>
      <c r="B84" s="25" t="n"/>
      <c r="C84" s="25" t="n"/>
      <c r="D84" s="3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2">
        <f>IF($B84="","",COUNTIF('Портфолио'!$A$5:$A$205,$B84))</f>
        <v/>
      </c>
      <c r="AT84" s="22">
        <f>IF($B84="","",COUNTIF('Решения'!$A$5:$A$205,$B84))</f>
        <v/>
      </c>
      <c r="AU84" s="36">
        <f>IF($B84="","",(15*(R84&lt;&gt;"")+15*(COUNTIF(T84:AE84,"Да")&gt;0)+15*AND(J84&lt;&gt;"",OR(L84&lt;&gt;"",M84&lt;&gt;""))+15*(AS84&gt;0)+10*(AT84&gt;0)+10*(COUNTIF(AM84:AR84,"Да")&gt;0)+10*IF(A84="Внешний вендор",D84&lt;&gt;"",E84&lt;&gt;"")+5*(I84&lt;&gt;"")+5*IF(A84="Внешний вендор",G84&lt;&gt;"",TRUE))/100)</f>
        <v/>
      </c>
      <c r="AV84" s="21" t="n"/>
      <c r="AW84" s="21" t="n"/>
    </row>
    <row r="85">
      <c r="A85" s="25" t="n"/>
      <c r="B85" s="25" t="n"/>
      <c r="C85" s="25" t="n"/>
      <c r="D85" s="3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2">
        <f>IF($B85="","",COUNTIF('Портфолио'!$A$5:$A$205,$B85))</f>
        <v/>
      </c>
      <c r="AT85" s="22">
        <f>IF($B85="","",COUNTIF('Решения'!$A$5:$A$205,$B85))</f>
        <v/>
      </c>
      <c r="AU85" s="36">
        <f>IF($B85="","",(15*(R85&lt;&gt;"")+15*(COUNTIF(T85:AE85,"Да")&gt;0)+15*AND(J85&lt;&gt;"",OR(L85&lt;&gt;"",M85&lt;&gt;""))+15*(AS85&gt;0)+10*(AT85&gt;0)+10*(COUNTIF(AM85:AR85,"Да")&gt;0)+10*IF(A85="Внешний вендор",D85&lt;&gt;"",E85&lt;&gt;"")+5*(I85&lt;&gt;"")+5*IF(A85="Внешний вендор",G85&lt;&gt;"",TRUE))/100)</f>
        <v/>
      </c>
      <c r="AV85" s="21" t="n"/>
      <c r="AW85" s="21" t="n"/>
    </row>
    <row r="86">
      <c r="A86" s="25" t="n"/>
      <c r="B86" s="25" t="n"/>
      <c r="C86" s="25" t="n"/>
      <c r="D86" s="3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2">
        <f>IF($B86="","",COUNTIF('Портфолио'!$A$5:$A$205,$B86))</f>
        <v/>
      </c>
      <c r="AT86" s="22">
        <f>IF($B86="","",COUNTIF('Решения'!$A$5:$A$205,$B86))</f>
        <v/>
      </c>
      <c r="AU86" s="36">
        <f>IF($B86="","",(15*(R86&lt;&gt;"")+15*(COUNTIF(T86:AE86,"Да")&gt;0)+15*AND(J86&lt;&gt;"",OR(L86&lt;&gt;"",M86&lt;&gt;""))+15*(AS86&gt;0)+10*(AT86&gt;0)+10*(COUNTIF(AM86:AR86,"Да")&gt;0)+10*IF(A86="Внешний вендор",D86&lt;&gt;"",E86&lt;&gt;"")+5*(I86&lt;&gt;"")+5*IF(A86="Внешний вендор",G86&lt;&gt;"",TRUE))/100)</f>
        <v/>
      </c>
      <c r="AV86" s="21" t="n"/>
      <c r="AW86" s="21" t="n"/>
    </row>
    <row r="87">
      <c r="A87" s="25" t="n"/>
      <c r="B87" s="25" t="n"/>
      <c r="C87" s="25" t="n"/>
      <c r="D87" s="3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2">
        <f>IF($B87="","",COUNTIF('Портфолио'!$A$5:$A$205,$B87))</f>
        <v/>
      </c>
      <c r="AT87" s="22">
        <f>IF($B87="","",COUNTIF('Решения'!$A$5:$A$205,$B87))</f>
        <v/>
      </c>
      <c r="AU87" s="36">
        <f>IF($B87="","",(15*(R87&lt;&gt;"")+15*(COUNTIF(T87:AE87,"Да")&gt;0)+15*AND(J87&lt;&gt;"",OR(L87&lt;&gt;"",M87&lt;&gt;""))+15*(AS87&gt;0)+10*(AT87&gt;0)+10*(COUNTIF(AM87:AR87,"Да")&gt;0)+10*IF(A87="Внешний вендор",D87&lt;&gt;"",E87&lt;&gt;"")+5*(I87&lt;&gt;"")+5*IF(A87="Внешний вендор",G87&lt;&gt;"",TRUE))/100)</f>
        <v/>
      </c>
      <c r="AV87" s="21" t="n"/>
      <c r="AW87" s="21" t="n"/>
    </row>
    <row r="88">
      <c r="A88" s="25" t="n"/>
      <c r="B88" s="25" t="n"/>
      <c r="C88" s="25" t="n"/>
      <c r="D88" s="3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2">
        <f>IF($B88="","",COUNTIF('Портфолио'!$A$5:$A$205,$B88))</f>
        <v/>
      </c>
      <c r="AT88" s="22">
        <f>IF($B88="","",COUNTIF('Решения'!$A$5:$A$205,$B88))</f>
        <v/>
      </c>
      <c r="AU88" s="36">
        <f>IF($B88="","",(15*(R88&lt;&gt;"")+15*(COUNTIF(T88:AE88,"Да")&gt;0)+15*AND(J88&lt;&gt;"",OR(L88&lt;&gt;"",M88&lt;&gt;""))+15*(AS88&gt;0)+10*(AT88&gt;0)+10*(COUNTIF(AM88:AR88,"Да")&gt;0)+10*IF(A88="Внешний вендор",D88&lt;&gt;"",E88&lt;&gt;"")+5*(I88&lt;&gt;"")+5*IF(A88="Внешний вендор",G88&lt;&gt;"",TRUE))/100)</f>
        <v/>
      </c>
      <c r="AV88" s="21" t="n"/>
      <c r="AW88" s="21" t="n"/>
    </row>
    <row r="89">
      <c r="A89" s="25" t="n"/>
      <c r="B89" s="25" t="n"/>
      <c r="C89" s="25" t="n"/>
      <c r="D89" s="3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2">
        <f>IF($B89="","",COUNTIF('Портфолио'!$A$5:$A$205,$B89))</f>
        <v/>
      </c>
      <c r="AT89" s="22">
        <f>IF($B89="","",COUNTIF('Решения'!$A$5:$A$205,$B89))</f>
        <v/>
      </c>
      <c r="AU89" s="36">
        <f>IF($B89="","",(15*(R89&lt;&gt;"")+15*(COUNTIF(T89:AE89,"Да")&gt;0)+15*AND(J89&lt;&gt;"",OR(L89&lt;&gt;"",M89&lt;&gt;""))+15*(AS89&gt;0)+10*(AT89&gt;0)+10*(COUNTIF(AM89:AR89,"Да")&gt;0)+10*IF(A89="Внешний вендор",D89&lt;&gt;"",E89&lt;&gt;"")+5*(I89&lt;&gt;"")+5*IF(A89="Внешний вендор",G89&lt;&gt;"",TRUE))/100)</f>
        <v/>
      </c>
      <c r="AV89" s="21" t="n"/>
      <c r="AW89" s="21" t="n"/>
    </row>
    <row r="90">
      <c r="A90" s="25" t="n"/>
      <c r="B90" s="25" t="n"/>
      <c r="C90" s="25" t="n"/>
      <c r="D90" s="3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2">
        <f>IF($B90="","",COUNTIF('Портфолио'!$A$5:$A$205,$B90))</f>
        <v/>
      </c>
      <c r="AT90" s="22">
        <f>IF($B90="","",COUNTIF('Решения'!$A$5:$A$205,$B90))</f>
        <v/>
      </c>
      <c r="AU90" s="36">
        <f>IF($B90="","",(15*(R90&lt;&gt;"")+15*(COUNTIF(T90:AE90,"Да")&gt;0)+15*AND(J90&lt;&gt;"",OR(L90&lt;&gt;"",M90&lt;&gt;""))+15*(AS90&gt;0)+10*(AT90&gt;0)+10*(COUNTIF(AM90:AR90,"Да")&gt;0)+10*IF(A90="Внешний вендор",D90&lt;&gt;"",E90&lt;&gt;"")+5*(I90&lt;&gt;"")+5*IF(A90="Внешний вендор",G90&lt;&gt;"",TRUE))/100)</f>
        <v/>
      </c>
      <c r="AV90" s="21" t="n"/>
      <c r="AW90" s="21" t="n"/>
    </row>
    <row r="91">
      <c r="A91" s="25" t="n"/>
      <c r="B91" s="25" t="n"/>
      <c r="C91" s="25" t="n"/>
      <c r="D91" s="3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2">
        <f>IF($B91="","",COUNTIF('Портфолио'!$A$5:$A$205,$B91))</f>
        <v/>
      </c>
      <c r="AT91" s="22">
        <f>IF($B91="","",COUNTIF('Решения'!$A$5:$A$205,$B91))</f>
        <v/>
      </c>
      <c r="AU91" s="36">
        <f>IF($B91="","",(15*(R91&lt;&gt;"")+15*(COUNTIF(T91:AE91,"Да")&gt;0)+15*AND(J91&lt;&gt;"",OR(L91&lt;&gt;"",M91&lt;&gt;""))+15*(AS91&gt;0)+10*(AT91&gt;0)+10*(COUNTIF(AM91:AR91,"Да")&gt;0)+10*IF(A91="Внешний вендор",D91&lt;&gt;"",E91&lt;&gt;"")+5*(I91&lt;&gt;"")+5*IF(A91="Внешний вендор",G91&lt;&gt;"",TRUE))/100)</f>
        <v/>
      </c>
      <c r="AV91" s="21" t="n"/>
      <c r="AW91" s="21" t="n"/>
    </row>
    <row r="92">
      <c r="A92" s="25" t="n"/>
      <c r="B92" s="25" t="n"/>
      <c r="C92" s="25" t="n"/>
      <c r="D92" s="3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2">
        <f>IF($B92="","",COUNTIF('Портфолио'!$A$5:$A$205,$B92))</f>
        <v/>
      </c>
      <c r="AT92" s="22">
        <f>IF($B92="","",COUNTIF('Решения'!$A$5:$A$205,$B92))</f>
        <v/>
      </c>
      <c r="AU92" s="36">
        <f>IF($B92="","",(15*(R92&lt;&gt;"")+15*(COUNTIF(T92:AE92,"Да")&gt;0)+15*AND(J92&lt;&gt;"",OR(L92&lt;&gt;"",M92&lt;&gt;""))+15*(AS92&gt;0)+10*(AT92&gt;0)+10*(COUNTIF(AM92:AR92,"Да")&gt;0)+10*IF(A92="Внешний вендор",D92&lt;&gt;"",E92&lt;&gt;"")+5*(I92&lt;&gt;"")+5*IF(A92="Внешний вендор",G92&lt;&gt;"",TRUE))/100)</f>
        <v/>
      </c>
      <c r="AV92" s="21" t="n"/>
      <c r="AW92" s="21" t="n"/>
    </row>
    <row r="93">
      <c r="A93" s="25" t="n"/>
      <c r="B93" s="25" t="n"/>
      <c r="C93" s="25" t="n"/>
      <c r="D93" s="3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2">
        <f>IF($B93="","",COUNTIF('Портфолио'!$A$5:$A$205,$B93))</f>
        <v/>
      </c>
      <c r="AT93" s="22">
        <f>IF($B93="","",COUNTIF('Решения'!$A$5:$A$205,$B93))</f>
        <v/>
      </c>
      <c r="AU93" s="36">
        <f>IF($B93="","",(15*(R93&lt;&gt;"")+15*(COUNTIF(T93:AE93,"Да")&gt;0)+15*AND(J93&lt;&gt;"",OR(L93&lt;&gt;"",M93&lt;&gt;""))+15*(AS93&gt;0)+10*(AT93&gt;0)+10*(COUNTIF(AM93:AR93,"Да")&gt;0)+10*IF(A93="Внешний вендор",D93&lt;&gt;"",E93&lt;&gt;"")+5*(I93&lt;&gt;"")+5*IF(A93="Внешний вендор",G93&lt;&gt;"",TRUE))/100)</f>
        <v/>
      </c>
      <c r="AV93" s="21" t="n"/>
      <c r="AW93" s="21" t="n"/>
    </row>
    <row r="94">
      <c r="A94" s="25" t="n"/>
      <c r="B94" s="25" t="n"/>
      <c r="C94" s="25" t="n"/>
      <c r="D94" s="3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2">
        <f>IF($B94="","",COUNTIF('Портфолио'!$A$5:$A$205,$B94))</f>
        <v/>
      </c>
      <c r="AT94" s="22">
        <f>IF($B94="","",COUNTIF('Решения'!$A$5:$A$205,$B94))</f>
        <v/>
      </c>
      <c r="AU94" s="36">
        <f>IF($B94="","",(15*(R94&lt;&gt;"")+15*(COUNTIF(T94:AE94,"Да")&gt;0)+15*AND(J94&lt;&gt;"",OR(L94&lt;&gt;"",M94&lt;&gt;""))+15*(AS94&gt;0)+10*(AT94&gt;0)+10*(COUNTIF(AM94:AR94,"Да")&gt;0)+10*IF(A94="Внешний вендор",D94&lt;&gt;"",E94&lt;&gt;"")+5*(I94&lt;&gt;"")+5*IF(A94="Внешний вендор",G94&lt;&gt;"",TRUE))/100)</f>
        <v/>
      </c>
      <c r="AV94" s="21" t="n"/>
      <c r="AW94" s="21" t="n"/>
    </row>
    <row r="95">
      <c r="A95" s="25" t="n"/>
      <c r="B95" s="25" t="n"/>
      <c r="C95" s="25" t="n"/>
      <c r="D95" s="3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2">
        <f>IF($B95="","",COUNTIF('Портфолио'!$A$5:$A$205,$B95))</f>
        <v/>
      </c>
      <c r="AT95" s="22">
        <f>IF($B95="","",COUNTIF('Решения'!$A$5:$A$205,$B95))</f>
        <v/>
      </c>
      <c r="AU95" s="36">
        <f>IF($B95="","",(15*(R95&lt;&gt;"")+15*(COUNTIF(T95:AE95,"Да")&gt;0)+15*AND(J95&lt;&gt;"",OR(L95&lt;&gt;"",M95&lt;&gt;""))+15*(AS95&gt;0)+10*(AT95&gt;0)+10*(COUNTIF(AM95:AR95,"Да")&gt;0)+10*IF(A95="Внешний вендор",D95&lt;&gt;"",E95&lt;&gt;"")+5*(I95&lt;&gt;"")+5*IF(A95="Внешний вендор",G95&lt;&gt;"",TRUE))/100)</f>
        <v/>
      </c>
      <c r="AV95" s="21" t="n"/>
      <c r="AW95" s="21" t="n"/>
    </row>
    <row r="96">
      <c r="A96" s="25" t="n"/>
      <c r="B96" s="25" t="n"/>
      <c r="C96" s="25" t="n"/>
      <c r="D96" s="3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2">
        <f>IF($B96="","",COUNTIF('Портфолио'!$A$5:$A$205,$B96))</f>
        <v/>
      </c>
      <c r="AT96" s="22">
        <f>IF($B96="","",COUNTIF('Решения'!$A$5:$A$205,$B96))</f>
        <v/>
      </c>
      <c r="AU96" s="36">
        <f>IF($B96="","",(15*(R96&lt;&gt;"")+15*(COUNTIF(T96:AE96,"Да")&gt;0)+15*AND(J96&lt;&gt;"",OR(L96&lt;&gt;"",M96&lt;&gt;""))+15*(AS96&gt;0)+10*(AT96&gt;0)+10*(COUNTIF(AM96:AR96,"Да")&gt;0)+10*IF(A96="Внешний вендор",D96&lt;&gt;"",E96&lt;&gt;"")+5*(I96&lt;&gt;"")+5*IF(A96="Внешний вендор",G96&lt;&gt;"",TRUE))/100)</f>
        <v/>
      </c>
      <c r="AV96" s="21" t="n"/>
      <c r="AW96" s="21" t="n"/>
    </row>
    <row r="97">
      <c r="A97" s="25" t="n"/>
      <c r="B97" s="25" t="n"/>
      <c r="C97" s="25" t="n"/>
      <c r="D97" s="3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  <c r="AD97" s="25" t="n"/>
      <c r="AE97" s="25" t="n"/>
      <c r="AF97" s="25" t="n"/>
      <c r="AG97" s="25" t="n"/>
      <c r="AH97" s="25" t="n"/>
      <c r="AI97" s="25" t="n"/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2">
        <f>IF($B97="","",COUNTIF('Портфолио'!$A$5:$A$205,$B97))</f>
        <v/>
      </c>
      <c r="AT97" s="22">
        <f>IF($B97="","",COUNTIF('Решения'!$A$5:$A$205,$B97))</f>
        <v/>
      </c>
      <c r="AU97" s="36">
        <f>IF($B97="","",(15*(R97&lt;&gt;"")+15*(COUNTIF(T97:AE97,"Да")&gt;0)+15*AND(J97&lt;&gt;"",OR(L97&lt;&gt;"",M97&lt;&gt;""))+15*(AS97&gt;0)+10*(AT97&gt;0)+10*(COUNTIF(AM97:AR97,"Да")&gt;0)+10*IF(A97="Внешний вендор",D97&lt;&gt;"",E97&lt;&gt;"")+5*(I97&lt;&gt;"")+5*IF(A97="Внешний вендор",G97&lt;&gt;"",TRUE))/100)</f>
        <v/>
      </c>
      <c r="AV97" s="21" t="n"/>
      <c r="AW97" s="21" t="n"/>
    </row>
    <row r="98">
      <c r="A98" s="25" t="n"/>
      <c r="B98" s="25" t="n"/>
      <c r="C98" s="25" t="n"/>
      <c r="D98" s="3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  <c r="AD98" s="25" t="n"/>
      <c r="AE98" s="25" t="n"/>
      <c r="AF98" s="25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2">
        <f>IF($B98="","",COUNTIF('Портфолио'!$A$5:$A$205,$B98))</f>
        <v/>
      </c>
      <c r="AT98" s="22">
        <f>IF($B98="","",COUNTIF('Решения'!$A$5:$A$205,$B98))</f>
        <v/>
      </c>
      <c r="AU98" s="36">
        <f>IF($B98="","",(15*(R98&lt;&gt;"")+15*(COUNTIF(T98:AE98,"Да")&gt;0)+15*AND(J98&lt;&gt;"",OR(L98&lt;&gt;"",M98&lt;&gt;""))+15*(AS98&gt;0)+10*(AT98&gt;0)+10*(COUNTIF(AM98:AR98,"Да")&gt;0)+10*IF(A98="Внешний вендор",D98&lt;&gt;"",E98&lt;&gt;"")+5*(I98&lt;&gt;"")+5*IF(A98="Внешний вендор",G98&lt;&gt;"",TRUE))/100)</f>
        <v/>
      </c>
      <c r="AV98" s="21" t="n"/>
      <c r="AW98" s="21" t="n"/>
    </row>
    <row r="99">
      <c r="A99" s="25" t="n"/>
      <c r="B99" s="25" t="n"/>
      <c r="C99" s="25" t="n"/>
      <c r="D99" s="3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  <c r="AD99" s="25" t="n"/>
      <c r="AE99" s="25" t="n"/>
      <c r="AF99" s="25" t="n"/>
      <c r="AG99" s="25" t="n"/>
      <c r="AH99" s="25" t="n"/>
      <c r="AI99" s="25" t="n"/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2">
        <f>IF($B99="","",COUNTIF('Портфолио'!$A$5:$A$205,$B99))</f>
        <v/>
      </c>
      <c r="AT99" s="22">
        <f>IF($B99="","",COUNTIF('Решения'!$A$5:$A$205,$B99))</f>
        <v/>
      </c>
      <c r="AU99" s="36">
        <f>IF($B99="","",(15*(R99&lt;&gt;"")+15*(COUNTIF(T99:AE99,"Да")&gt;0)+15*AND(J99&lt;&gt;"",OR(L99&lt;&gt;"",M99&lt;&gt;""))+15*(AS99&gt;0)+10*(AT99&gt;0)+10*(COUNTIF(AM99:AR99,"Да")&gt;0)+10*IF(A99="Внешний вендор",D99&lt;&gt;"",E99&lt;&gt;"")+5*(I99&lt;&gt;"")+5*IF(A99="Внешний вендор",G99&lt;&gt;"",TRUE))/100)</f>
        <v/>
      </c>
      <c r="AV99" s="21" t="n"/>
      <c r="AW99" s="21" t="n"/>
    </row>
    <row r="100">
      <c r="A100" s="25" t="n"/>
      <c r="B100" s="25" t="n"/>
      <c r="C100" s="25" t="n"/>
      <c r="D100" s="3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2">
        <f>IF($B100="","",COUNTIF('Портфолио'!$A$5:$A$205,$B100))</f>
        <v/>
      </c>
      <c r="AT100" s="22">
        <f>IF($B100="","",COUNTIF('Решения'!$A$5:$A$205,$B100))</f>
        <v/>
      </c>
      <c r="AU100" s="36">
        <f>IF($B100="","",(15*(R100&lt;&gt;"")+15*(COUNTIF(T100:AE100,"Да")&gt;0)+15*AND(J100&lt;&gt;"",OR(L100&lt;&gt;"",M100&lt;&gt;""))+15*(AS100&gt;0)+10*(AT100&gt;0)+10*(COUNTIF(AM100:AR100,"Да")&gt;0)+10*IF(A100="Внешний вендор",D100&lt;&gt;"",E100&lt;&gt;"")+5*(I100&lt;&gt;"")+5*IF(A100="Внешний вендор",G100&lt;&gt;"",TRUE))/100)</f>
        <v/>
      </c>
      <c r="AV100" s="21" t="n"/>
      <c r="AW100" s="21" t="n"/>
    </row>
    <row r="101">
      <c r="A101" s="25" t="n"/>
      <c r="B101" s="25" t="n"/>
      <c r="C101" s="25" t="n"/>
      <c r="D101" s="3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  <c r="AE101" s="25" t="n"/>
      <c r="AF101" s="25" t="n"/>
      <c r="AG101" s="25" t="n"/>
      <c r="AH101" s="25" t="n"/>
      <c r="AI101" s="25" t="n"/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2">
        <f>IF($B101="","",COUNTIF('Портфолио'!$A$5:$A$205,$B101))</f>
        <v/>
      </c>
      <c r="AT101" s="22">
        <f>IF($B101="","",COUNTIF('Решения'!$A$5:$A$205,$B101))</f>
        <v/>
      </c>
      <c r="AU101" s="36">
        <f>IF($B101="","",(15*(R101&lt;&gt;"")+15*(COUNTIF(T101:AE101,"Да")&gt;0)+15*AND(J101&lt;&gt;"",OR(L101&lt;&gt;"",M101&lt;&gt;""))+15*(AS101&gt;0)+10*(AT101&gt;0)+10*(COUNTIF(AM101:AR101,"Да")&gt;0)+10*IF(A101="Внешний вендор",D101&lt;&gt;"",E101&lt;&gt;"")+5*(I101&lt;&gt;"")+5*IF(A101="Внешний вендор",G101&lt;&gt;"",TRUE))/100)</f>
        <v/>
      </c>
      <c r="AV101" s="21" t="n"/>
      <c r="AW101" s="21" t="n"/>
    </row>
    <row r="102">
      <c r="A102" s="25" t="n"/>
      <c r="B102" s="25" t="n"/>
      <c r="C102" s="25" t="n"/>
      <c r="D102" s="3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2">
        <f>IF($B102="","",COUNTIF('Портфолио'!$A$5:$A$205,$B102))</f>
        <v/>
      </c>
      <c r="AT102" s="22">
        <f>IF($B102="","",COUNTIF('Решения'!$A$5:$A$205,$B102))</f>
        <v/>
      </c>
      <c r="AU102" s="36">
        <f>IF($B102="","",(15*(R102&lt;&gt;"")+15*(COUNTIF(T102:AE102,"Да")&gt;0)+15*AND(J102&lt;&gt;"",OR(L102&lt;&gt;"",M102&lt;&gt;""))+15*(AS102&gt;0)+10*(AT102&gt;0)+10*(COUNTIF(AM102:AR102,"Да")&gt;0)+10*IF(A102="Внешний вендор",D102&lt;&gt;"",E102&lt;&gt;"")+5*(I102&lt;&gt;"")+5*IF(A102="Внешний вендор",G102&lt;&gt;"",TRUE))/100)</f>
        <v/>
      </c>
      <c r="AV102" s="21" t="n"/>
      <c r="AW102" s="21" t="n"/>
    </row>
    <row r="103">
      <c r="A103" s="25" t="n"/>
      <c r="B103" s="25" t="n"/>
      <c r="C103" s="25" t="n"/>
      <c r="D103" s="3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5" t="n"/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2">
        <f>IF($B103="","",COUNTIF('Портфолио'!$A$5:$A$205,$B103))</f>
        <v/>
      </c>
      <c r="AT103" s="22">
        <f>IF($B103="","",COUNTIF('Решения'!$A$5:$A$205,$B103))</f>
        <v/>
      </c>
      <c r="AU103" s="36">
        <f>IF($B103="","",(15*(R103&lt;&gt;"")+15*(COUNTIF(T103:AE103,"Да")&gt;0)+15*AND(J103&lt;&gt;"",OR(L103&lt;&gt;"",M103&lt;&gt;""))+15*(AS103&gt;0)+10*(AT103&gt;0)+10*(COUNTIF(AM103:AR103,"Да")&gt;0)+10*IF(A103="Внешний вендор",D103&lt;&gt;"",E103&lt;&gt;"")+5*(I103&lt;&gt;"")+5*IF(A103="Внешний вендор",G103&lt;&gt;"",TRUE))/100)</f>
        <v/>
      </c>
      <c r="AV103" s="21" t="n"/>
      <c r="AW103" s="21" t="n"/>
    </row>
    <row r="104">
      <c r="A104" s="25" t="n"/>
      <c r="B104" s="25" t="n"/>
      <c r="C104" s="25" t="n"/>
      <c r="D104" s="3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  <c r="AD104" s="25" t="n"/>
      <c r="AE104" s="25" t="n"/>
      <c r="AF104" s="2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2">
        <f>IF($B104="","",COUNTIF('Портфолио'!$A$5:$A$205,$B104))</f>
        <v/>
      </c>
      <c r="AT104" s="22">
        <f>IF($B104="","",COUNTIF('Решения'!$A$5:$A$205,$B104))</f>
        <v/>
      </c>
      <c r="AU104" s="36">
        <f>IF($B104="","",(15*(R104&lt;&gt;"")+15*(COUNTIF(T104:AE104,"Да")&gt;0)+15*AND(J104&lt;&gt;"",OR(L104&lt;&gt;"",M104&lt;&gt;""))+15*(AS104&gt;0)+10*(AT104&gt;0)+10*(COUNTIF(AM104:AR104,"Да")&gt;0)+10*IF(A104="Внешний вендор",D104&lt;&gt;"",E104&lt;&gt;"")+5*(I104&lt;&gt;"")+5*IF(A104="Внешний вендор",G104&lt;&gt;"",TRUE))/100)</f>
        <v/>
      </c>
      <c r="AV104" s="21" t="n"/>
      <c r="AW104" s="21" t="n"/>
    </row>
    <row r="105">
      <c r="A105" s="25" t="n"/>
      <c r="B105" s="25" t="n"/>
      <c r="C105" s="25" t="n"/>
      <c r="D105" s="3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5" t="n"/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2">
        <f>IF($B105="","",COUNTIF('Портфолио'!$A$5:$A$205,$B105))</f>
        <v/>
      </c>
      <c r="AT105" s="22">
        <f>IF($B105="","",COUNTIF('Решения'!$A$5:$A$205,$B105))</f>
        <v/>
      </c>
      <c r="AU105" s="36">
        <f>IF($B105="","",(15*(R105&lt;&gt;"")+15*(COUNTIF(T105:AE105,"Да")&gt;0)+15*AND(J105&lt;&gt;"",OR(L105&lt;&gt;"",M105&lt;&gt;""))+15*(AS105&gt;0)+10*(AT105&gt;0)+10*(COUNTIF(AM105:AR105,"Да")&gt;0)+10*IF(A105="Внешний вендор",D105&lt;&gt;"",E105&lt;&gt;"")+5*(I105&lt;&gt;"")+5*IF(A105="Внешний вендор",G105&lt;&gt;"",TRUE))/100)</f>
        <v/>
      </c>
      <c r="AV105" s="21" t="n"/>
      <c r="AW105" s="21" t="n"/>
    </row>
    <row r="106">
      <c r="A106" s="25" t="n"/>
      <c r="B106" s="25" t="n"/>
      <c r="C106" s="25" t="n"/>
      <c r="D106" s="3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  <c r="AS106" s="22">
        <f>IF($B106="","",COUNTIF('Портфолио'!$A$5:$A$205,$B106))</f>
        <v/>
      </c>
      <c r="AT106" s="22">
        <f>IF($B106="","",COUNTIF('Решения'!$A$5:$A$205,$B106))</f>
        <v/>
      </c>
      <c r="AU106" s="36">
        <f>IF($B106="","",(15*(R106&lt;&gt;"")+15*(COUNTIF(T106:AE106,"Да")&gt;0)+15*AND(J106&lt;&gt;"",OR(L106&lt;&gt;"",M106&lt;&gt;""))+15*(AS106&gt;0)+10*(AT106&gt;0)+10*(COUNTIF(AM106:AR106,"Да")&gt;0)+10*IF(A106="Внешний вендор",D106&lt;&gt;"",E106&lt;&gt;"")+5*(I106&lt;&gt;"")+5*IF(A106="Внешний вендор",G106&lt;&gt;"",TRUE))/100)</f>
        <v/>
      </c>
      <c r="AV106" s="21" t="n"/>
      <c r="AW106" s="21" t="n"/>
    </row>
    <row r="107">
      <c r="A107" s="25" t="n"/>
      <c r="B107" s="25" t="n"/>
      <c r="C107" s="25" t="n"/>
      <c r="D107" s="3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  <c r="AD107" s="25" t="n"/>
      <c r="AE107" s="25" t="n"/>
      <c r="AF107" s="25" t="n"/>
      <c r="AG107" s="25" t="n"/>
      <c r="AH107" s="25" t="n"/>
      <c r="AI107" s="25" t="n"/>
      <c r="AJ107" s="25" t="n"/>
      <c r="AK107" s="25" t="n"/>
      <c r="AL107" s="25" t="n"/>
      <c r="AM107" s="25" t="n"/>
      <c r="AN107" s="25" t="n"/>
      <c r="AO107" s="25" t="n"/>
      <c r="AP107" s="25" t="n"/>
      <c r="AQ107" s="25" t="n"/>
      <c r="AR107" s="25" t="n"/>
      <c r="AS107" s="22">
        <f>IF($B107="","",COUNTIF('Портфолио'!$A$5:$A$205,$B107))</f>
        <v/>
      </c>
      <c r="AT107" s="22">
        <f>IF($B107="","",COUNTIF('Решения'!$A$5:$A$205,$B107))</f>
        <v/>
      </c>
      <c r="AU107" s="36">
        <f>IF($B107="","",(15*(R107&lt;&gt;"")+15*(COUNTIF(T107:AE107,"Да")&gt;0)+15*AND(J107&lt;&gt;"",OR(L107&lt;&gt;"",M107&lt;&gt;""))+15*(AS107&gt;0)+10*(AT107&gt;0)+10*(COUNTIF(AM107:AR107,"Да")&gt;0)+10*IF(A107="Внешний вендор",D107&lt;&gt;"",E107&lt;&gt;"")+5*(I107&lt;&gt;"")+5*IF(A107="Внешний вендор",G107&lt;&gt;"",TRUE))/100)</f>
        <v/>
      </c>
      <c r="AV107" s="21" t="n"/>
      <c r="AW107" s="21" t="n"/>
    </row>
    <row r="108">
      <c r="A108" s="25" t="n"/>
      <c r="B108" s="25" t="n"/>
      <c r="C108" s="25" t="n"/>
      <c r="D108" s="3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  <c r="AD108" s="25" t="n"/>
      <c r="AE108" s="25" t="n"/>
      <c r="AF108" s="25" t="n"/>
      <c r="AG108" s="25" t="n"/>
      <c r="AH108" s="25" t="n"/>
      <c r="AI108" s="25" t="n"/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  <c r="AS108" s="22">
        <f>IF($B108="","",COUNTIF('Портфолио'!$A$5:$A$205,$B108))</f>
        <v/>
      </c>
      <c r="AT108" s="22">
        <f>IF($B108="","",COUNTIF('Решения'!$A$5:$A$205,$B108))</f>
        <v/>
      </c>
      <c r="AU108" s="36">
        <f>IF($B108="","",(15*(R108&lt;&gt;"")+15*(COUNTIF(T108:AE108,"Да")&gt;0)+15*AND(J108&lt;&gt;"",OR(L108&lt;&gt;"",M108&lt;&gt;""))+15*(AS108&gt;0)+10*(AT108&gt;0)+10*(COUNTIF(AM108:AR108,"Да")&gt;0)+10*IF(A108="Внешний вендор",D108&lt;&gt;"",E108&lt;&gt;"")+5*(I108&lt;&gt;"")+5*IF(A108="Внешний вендор",G108&lt;&gt;"",TRUE))/100)</f>
        <v/>
      </c>
      <c r="AV108" s="21" t="n"/>
      <c r="AW108" s="21" t="n"/>
    </row>
    <row r="109">
      <c r="A109" s="25" t="n"/>
      <c r="B109" s="25" t="n"/>
      <c r="C109" s="25" t="n"/>
      <c r="D109" s="3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  <c r="AD109" s="25" t="n"/>
      <c r="AE109" s="25" t="n"/>
      <c r="AF109" s="25" t="n"/>
      <c r="AG109" s="25" t="n"/>
      <c r="AH109" s="25" t="n"/>
      <c r="AI109" s="25" t="n"/>
      <c r="AJ109" s="25" t="n"/>
      <c r="AK109" s="25" t="n"/>
      <c r="AL109" s="25" t="n"/>
      <c r="AM109" s="25" t="n"/>
      <c r="AN109" s="25" t="n"/>
      <c r="AO109" s="25" t="n"/>
      <c r="AP109" s="25" t="n"/>
      <c r="AQ109" s="25" t="n"/>
      <c r="AR109" s="25" t="n"/>
      <c r="AS109" s="22">
        <f>IF($B109="","",COUNTIF('Портфолио'!$A$5:$A$205,$B109))</f>
        <v/>
      </c>
      <c r="AT109" s="22">
        <f>IF($B109="","",COUNTIF('Решения'!$A$5:$A$205,$B109))</f>
        <v/>
      </c>
      <c r="AU109" s="36">
        <f>IF($B109="","",(15*(R109&lt;&gt;"")+15*(COUNTIF(T109:AE109,"Да")&gt;0)+15*AND(J109&lt;&gt;"",OR(L109&lt;&gt;"",M109&lt;&gt;""))+15*(AS109&gt;0)+10*(AT109&gt;0)+10*(COUNTIF(AM109:AR109,"Да")&gt;0)+10*IF(A109="Внешний вендор",D109&lt;&gt;"",E109&lt;&gt;"")+5*(I109&lt;&gt;"")+5*IF(A109="Внешний вендор",G109&lt;&gt;"",TRUE))/100)</f>
        <v/>
      </c>
      <c r="AV109" s="21" t="n"/>
      <c r="AW109" s="21" t="n"/>
    </row>
    <row r="110">
      <c r="A110" s="25" t="n"/>
      <c r="B110" s="25" t="n"/>
      <c r="C110" s="25" t="n"/>
      <c r="D110" s="3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  <c r="AD110" s="25" t="n"/>
      <c r="AE110" s="25" t="n"/>
      <c r="AF110" s="25" t="n"/>
      <c r="AG110" s="25" t="n"/>
      <c r="AH110" s="25" t="n"/>
      <c r="AI110" s="25" t="n"/>
      <c r="AJ110" s="25" t="n"/>
      <c r="AK110" s="25" t="n"/>
      <c r="AL110" s="25" t="n"/>
      <c r="AM110" s="25" t="n"/>
      <c r="AN110" s="25" t="n"/>
      <c r="AO110" s="25" t="n"/>
      <c r="AP110" s="25" t="n"/>
      <c r="AQ110" s="25" t="n"/>
      <c r="AR110" s="25" t="n"/>
      <c r="AS110" s="22">
        <f>IF($B110="","",COUNTIF('Портфолио'!$A$5:$A$205,$B110))</f>
        <v/>
      </c>
      <c r="AT110" s="22">
        <f>IF($B110="","",COUNTIF('Решения'!$A$5:$A$205,$B110))</f>
        <v/>
      </c>
      <c r="AU110" s="36">
        <f>IF($B110="","",(15*(R110&lt;&gt;"")+15*(COUNTIF(T110:AE110,"Да")&gt;0)+15*AND(J110&lt;&gt;"",OR(L110&lt;&gt;"",M110&lt;&gt;""))+15*(AS110&gt;0)+10*(AT110&gt;0)+10*(COUNTIF(AM110:AR110,"Да")&gt;0)+10*IF(A110="Внешний вендор",D110&lt;&gt;"",E110&lt;&gt;"")+5*(I110&lt;&gt;"")+5*IF(A110="Внешний вендор",G110&lt;&gt;"",TRUE))/100)</f>
        <v/>
      </c>
      <c r="AV110" s="21" t="n"/>
      <c r="AW110" s="21" t="n"/>
    </row>
    <row r="111">
      <c r="A111" s="25" t="n"/>
      <c r="B111" s="25" t="n"/>
      <c r="C111" s="25" t="n"/>
      <c r="D111" s="3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  <c r="AD111" s="25" t="n"/>
      <c r="AE111" s="25" t="n"/>
      <c r="AF111" s="25" t="n"/>
      <c r="AG111" s="25" t="n"/>
      <c r="AH111" s="25" t="n"/>
      <c r="AI111" s="25" t="n"/>
      <c r="AJ111" s="25" t="n"/>
      <c r="AK111" s="25" t="n"/>
      <c r="AL111" s="25" t="n"/>
      <c r="AM111" s="25" t="n"/>
      <c r="AN111" s="25" t="n"/>
      <c r="AO111" s="25" t="n"/>
      <c r="AP111" s="25" t="n"/>
      <c r="AQ111" s="25" t="n"/>
      <c r="AR111" s="25" t="n"/>
      <c r="AS111" s="22">
        <f>IF($B111="","",COUNTIF('Портфолио'!$A$5:$A$205,$B111))</f>
        <v/>
      </c>
      <c r="AT111" s="22">
        <f>IF($B111="","",COUNTIF('Решения'!$A$5:$A$205,$B111))</f>
        <v/>
      </c>
      <c r="AU111" s="36">
        <f>IF($B111="","",(15*(R111&lt;&gt;"")+15*(COUNTIF(T111:AE111,"Да")&gt;0)+15*AND(J111&lt;&gt;"",OR(L111&lt;&gt;"",M111&lt;&gt;""))+15*(AS111&gt;0)+10*(AT111&gt;0)+10*(COUNTIF(AM111:AR111,"Да")&gt;0)+10*IF(A111="Внешний вендор",D111&lt;&gt;"",E111&lt;&gt;"")+5*(I111&lt;&gt;"")+5*IF(A111="Внешний вендор",G111&lt;&gt;"",TRUE))/100)</f>
        <v/>
      </c>
      <c r="AV111" s="21" t="n"/>
      <c r="AW111" s="21" t="n"/>
    </row>
    <row r="112">
      <c r="A112" s="25" t="n"/>
      <c r="B112" s="25" t="n"/>
      <c r="C112" s="25" t="n"/>
      <c r="D112" s="3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  <c r="AD112" s="25" t="n"/>
      <c r="AE112" s="25" t="n"/>
      <c r="AF112" s="25" t="n"/>
      <c r="AG112" s="25" t="n"/>
      <c r="AH112" s="25" t="n"/>
      <c r="AI112" s="25" t="n"/>
      <c r="AJ112" s="25" t="n"/>
      <c r="AK112" s="25" t="n"/>
      <c r="AL112" s="25" t="n"/>
      <c r="AM112" s="25" t="n"/>
      <c r="AN112" s="25" t="n"/>
      <c r="AO112" s="25" t="n"/>
      <c r="AP112" s="25" t="n"/>
      <c r="AQ112" s="25" t="n"/>
      <c r="AR112" s="25" t="n"/>
      <c r="AS112" s="22">
        <f>IF($B112="","",COUNTIF('Портфолио'!$A$5:$A$205,$B112))</f>
        <v/>
      </c>
      <c r="AT112" s="22">
        <f>IF($B112="","",COUNTIF('Решения'!$A$5:$A$205,$B112))</f>
        <v/>
      </c>
      <c r="AU112" s="36">
        <f>IF($B112="","",(15*(R112&lt;&gt;"")+15*(COUNTIF(T112:AE112,"Да")&gt;0)+15*AND(J112&lt;&gt;"",OR(L112&lt;&gt;"",M112&lt;&gt;""))+15*(AS112&gt;0)+10*(AT112&gt;0)+10*(COUNTIF(AM112:AR112,"Да")&gt;0)+10*IF(A112="Внешний вендор",D112&lt;&gt;"",E112&lt;&gt;"")+5*(I112&lt;&gt;"")+5*IF(A112="Внешний вендор",G112&lt;&gt;"",TRUE))/100)</f>
        <v/>
      </c>
      <c r="AV112" s="21" t="n"/>
      <c r="AW112" s="21" t="n"/>
    </row>
    <row r="113">
      <c r="A113" s="25" t="n"/>
      <c r="B113" s="25" t="n"/>
      <c r="C113" s="25" t="n"/>
      <c r="D113" s="3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  <c r="AD113" s="25" t="n"/>
      <c r="AE113" s="25" t="n"/>
      <c r="AF113" s="25" t="n"/>
      <c r="AG113" s="25" t="n"/>
      <c r="AH113" s="25" t="n"/>
      <c r="AI113" s="25" t="n"/>
      <c r="AJ113" s="25" t="n"/>
      <c r="AK113" s="25" t="n"/>
      <c r="AL113" s="25" t="n"/>
      <c r="AM113" s="25" t="n"/>
      <c r="AN113" s="25" t="n"/>
      <c r="AO113" s="25" t="n"/>
      <c r="AP113" s="25" t="n"/>
      <c r="AQ113" s="25" t="n"/>
      <c r="AR113" s="25" t="n"/>
      <c r="AS113" s="22">
        <f>IF($B113="","",COUNTIF('Портфолио'!$A$5:$A$205,$B113))</f>
        <v/>
      </c>
      <c r="AT113" s="22">
        <f>IF($B113="","",COUNTIF('Решения'!$A$5:$A$205,$B113))</f>
        <v/>
      </c>
      <c r="AU113" s="36">
        <f>IF($B113="","",(15*(R113&lt;&gt;"")+15*(COUNTIF(T113:AE113,"Да")&gt;0)+15*AND(J113&lt;&gt;"",OR(L113&lt;&gt;"",M113&lt;&gt;""))+15*(AS113&gt;0)+10*(AT113&gt;0)+10*(COUNTIF(AM113:AR113,"Да")&gt;0)+10*IF(A113="Внешний вендор",D113&lt;&gt;"",E113&lt;&gt;"")+5*(I113&lt;&gt;"")+5*IF(A113="Внешний вендор",G113&lt;&gt;"",TRUE))/100)</f>
        <v/>
      </c>
      <c r="AV113" s="21" t="n"/>
      <c r="AW113" s="21" t="n"/>
    </row>
    <row r="114">
      <c r="A114" s="25" t="n"/>
      <c r="B114" s="25" t="n"/>
      <c r="C114" s="25" t="n"/>
      <c r="D114" s="3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5" t="n"/>
      <c r="AL114" s="25" t="n"/>
      <c r="AM114" s="25" t="n"/>
      <c r="AN114" s="25" t="n"/>
      <c r="AO114" s="25" t="n"/>
      <c r="AP114" s="25" t="n"/>
      <c r="AQ114" s="25" t="n"/>
      <c r="AR114" s="25" t="n"/>
      <c r="AS114" s="22">
        <f>IF($B114="","",COUNTIF('Портфолио'!$A$5:$A$205,$B114))</f>
        <v/>
      </c>
      <c r="AT114" s="22">
        <f>IF($B114="","",COUNTIF('Решения'!$A$5:$A$205,$B114))</f>
        <v/>
      </c>
      <c r="AU114" s="36">
        <f>IF($B114="","",(15*(R114&lt;&gt;"")+15*(COUNTIF(T114:AE114,"Да")&gt;0)+15*AND(J114&lt;&gt;"",OR(L114&lt;&gt;"",M114&lt;&gt;""))+15*(AS114&gt;0)+10*(AT114&gt;0)+10*(COUNTIF(AM114:AR114,"Да")&gt;0)+10*IF(A114="Внешний вендор",D114&lt;&gt;"",E114&lt;&gt;"")+5*(I114&lt;&gt;"")+5*IF(A114="Внешний вендор",G114&lt;&gt;"",TRUE))/100)</f>
        <v/>
      </c>
      <c r="AV114" s="21" t="n"/>
      <c r="AW114" s="21" t="n"/>
    </row>
    <row r="115">
      <c r="A115" s="25" t="n"/>
      <c r="B115" s="25" t="n"/>
      <c r="C115" s="25" t="n"/>
      <c r="D115" s="3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  <c r="AD115" s="25" t="n"/>
      <c r="AE115" s="25" t="n"/>
      <c r="AF115" s="25" t="n"/>
      <c r="AG115" s="25" t="n"/>
      <c r="AH115" s="25" t="n"/>
      <c r="AI115" s="25" t="n"/>
      <c r="AJ115" s="25" t="n"/>
      <c r="AK115" s="25" t="n"/>
      <c r="AL115" s="25" t="n"/>
      <c r="AM115" s="25" t="n"/>
      <c r="AN115" s="25" t="n"/>
      <c r="AO115" s="25" t="n"/>
      <c r="AP115" s="25" t="n"/>
      <c r="AQ115" s="25" t="n"/>
      <c r="AR115" s="25" t="n"/>
      <c r="AS115" s="22">
        <f>IF($B115="","",COUNTIF('Портфолио'!$A$5:$A$205,$B115))</f>
        <v/>
      </c>
      <c r="AT115" s="22">
        <f>IF($B115="","",COUNTIF('Решения'!$A$5:$A$205,$B115))</f>
        <v/>
      </c>
      <c r="AU115" s="36">
        <f>IF($B115="","",(15*(R115&lt;&gt;"")+15*(COUNTIF(T115:AE115,"Да")&gt;0)+15*AND(J115&lt;&gt;"",OR(L115&lt;&gt;"",M115&lt;&gt;""))+15*(AS115&gt;0)+10*(AT115&gt;0)+10*(COUNTIF(AM115:AR115,"Да")&gt;0)+10*IF(A115="Внешний вендор",D115&lt;&gt;"",E115&lt;&gt;"")+5*(I115&lt;&gt;"")+5*IF(A115="Внешний вендор",G115&lt;&gt;"",TRUE))/100)</f>
        <v/>
      </c>
      <c r="AV115" s="21" t="n"/>
      <c r="AW115" s="21" t="n"/>
    </row>
    <row r="116">
      <c r="A116" s="25" t="n"/>
      <c r="B116" s="25" t="n"/>
      <c r="C116" s="25" t="n"/>
      <c r="D116" s="3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  <c r="AD116" s="25" t="n"/>
      <c r="AE116" s="25" t="n"/>
      <c r="AF116" s="25" t="n"/>
      <c r="AG116" s="25" t="n"/>
      <c r="AH116" s="25" t="n"/>
      <c r="AI116" s="25" t="n"/>
      <c r="AJ116" s="25" t="n"/>
      <c r="AK116" s="25" t="n"/>
      <c r="AL116" s="25" t="n"/>
      <c r="AM116" s="25" t="n"/>
      <c r="AN116" s="25" t="n"/>
      <c r="AO116" s="25" t="n"/>
      <c r="AP116" s="25" t="n"/>
      <c r="AQ116" s="25" t="n"/>
      <c r="AR116" s="25" t="n"/>
      <c r="AS116" s="22">
        <f>IF($B116="","",COUNTIF('Портфолио'!$A$5:$A$205,$B116))</f>
        <v/>
      </c>
      <c r="AT116" s="22">
        <f>IF($B116="","",COUNTIF('Решения'!$A$5:$A$205,$B116))</f>
        <v/>
      </c>
      <c r="AU116" s="36">
        <f>IF($B116="","",(15*(R116&lt;&gt;"")+15*(COUNTIF(T116:AE116,"Да")&gt;0)+15*AND(J116&lt;&gt;"",OR(L116&lt;&gt;"",M116&lt;&gt;""))+15*(AS116&gt;0)+10*(AT116&gt;0)+10*(COUNTIF(AM116:AR116,"Да")&gt;0)+10*IF(A116="Внешний вендор",D116&lt;&gt;"",E116&lt;&gt;"")+5*(I116&lt;&gt;"")+5*IF(A116="Внешний вендор",G116&lt;&gt;"",TRUE))/100)</f>
        <v/>
      </c>
      <c r="AV116" s="21" t="n"/>
      <c r="AW116" s="21" t="n"/>
    </row>
    <row r="117">
      <c r="A117" s="25" t="n"/>
      <c r="B117" s="25" t="n"/>
      <c r="C117" s="25" t="n"/>
      <c r="D117" s="3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  <c r="AD117" s="25" t="n"/>
      <c r="AE117" s="25" t="n"/>
      <c r="AF117" s="25" t="n"/>
      <c r="AG117" s="25" t="n"/>
      <c r="AH117" s="25" t="n"/>
      <c r="AI117" s="25" t="n"/>
      <c r="AJ117" s="25" t="n"/>
      <c r="AK117" s="25" t="n"/>
      <c r="AL117" s="25" t="n"/>
      <c r="AM117" s="25" t="n"/>
      <c r="AN117" s="25" t="n"/>
      <c r="AO117" s="25" t="n"/>
      <c r="AP117" s="25" t="n"/>
      <c r="AQ117" s="25" t="n"/>
      <c r="AR117" s="25" t="n"/>
      <c r="AS117" s="22">
        <f>IF($B117="","",COUNTIF('Портфолио'!$A$5:$A$205,$B117))</f>
        <v/>
      </c>
      <c r="AT117" s="22">
        <f>IF($B117="","",COUNTIF('Решения'!$A$5:$A$205,$B117))</f>
        <v/>
      </c>
      <c r="AU117" s="36">
        <f>IF($B117="","",(15*(R117&lt;&gt;"")+15*(COUNTIF(T117:AE117,"Да")&gt;0)+15*AND(J117&lt;&gt;"",OR(L117&lt;&gt;"",M117&lt;&gt;""))+15*(AS117&gt;0)+10*(AT117&gt;0)+10*(COUNTIF(AM117:AR117,"Да")&gt;0)+10*IF(A117="Внешний вендор",D117&lt;&gt;"",E117&lt;&gt;"")+5*(I117&lt;&gt;"")+5*IF(A117="Внешний вендор",G117&lt;&gt;"",TRUE))/100)</f>
        <v/>
      </c>
      <c r="AV117" s="21" t="n"/>
      <c r="AW117" s="21" t="n"/>
    </row>
    <row r="118">
      <c r="A118" s="25" t="n"/>
      <c r="B118" s="25" t="n"/>
      <c r="C118" s="25" t="n"/>
      <c r="D118" s="3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  <c r="AL118" s="25" t="n"/>
      <c r="AM118" s="25" t="n"/>
      <c r="AN118" s="25" t="n"/>
      <c r="AO118" s="25" t="n"/>
      <c r="AP118" s="25" t="n"/>
      <c r="AQ118" s="25" t="n"/>
      <c r="AR118" s="25" t="n"/>
      <c r="AS118" s="22">
        <f>IF($B118="","",COUNTIF('Портфолио'!$A$5:$A$205,$B118))</f>
        <v/>
      </c>
      <c r="AT118" s="22">
        <f>IF($B118="","",COUNTIF('Решения'!$A$5:$A$205,$B118))</f>
        <v/>
      </c>
      <c r="AU118" s="36">
        <f>IF($B118="","",(15*(R118&lt;&gt;"")+15*(COUNTIF(T118:AE118,"Да")&gt;0)+15*AND(J118&lt;&gt;"",OR(L118&lt;&gt;"",M118&lt;&gt;""))+15*(AS118&gt;0)+10*(AT118&gt;0)+10*(COUNTIF(AM118:AR118,"Да")&gt;0)+10*IF(A118="Внешний вендор",D118&lt;&gt;"",E118&lt;&gt;"")+5*(I118&lt;&gt;"")+5*IF(A118="Внешний вендор",G118&lt;&gt;"",TRUE))/100)</f>
        <v/>
      </c>
      <c r="AV118" s="21" t="n"/>
      <c r="AW118" s="21" t="n"/>
    </row>
    <row r="119">
      <c r="A119" s="25" t="n"/>
      <c r="B119" s="25" t="n"/>
      <c r="C119" s="25" t="n"/>
      <c r="D119" s="3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  <c r="AD119" s="25" t="n"/>
      <c r="AE119" s="25" t="n"/>
      <c r="AF119" s="25" t="n"/>
      <c r="AG119" s="25" t="n"/>
      <c r="AH119" s="25" t="n"/>
      <c r="AI119" s="25" t="n"/>
      <c r="AJ119" s="25" t="n"/>
      <c r="AK119" s="25" t="n"/>
      <c r="AL119" s="25" t="n"/>
      <c r="AM119" s="25" t="n"/>
      <c r="AN119" s="25" t="n"/>
      <c r="AO119" s="25" t="n"/>
      <c r="AP119" s="25" t="n"/>
      <c r="AQ119" s="25" t="n"/>
      <c r="AR119" s="25" t="n"/>
      <c r="AS119" s="22">
        <f>IF($B119="","",COUNTIF('Портфолио'!$A$5:$A$205,$B119))</f>
        <v/>
      </c>
      <c r="AT119" s="22">
        <f>IF($B119="","",COUNTIF('Решения'!$A$5:$A$205,$B119))</f>
        <v/>
      </c>
      <c r="AU119" s="36">
        <f>IF($B119="","",(15*(R119&lt;&gt;"")+15*(COUNTIF(T119:AE119,"Да")&gt;0)+15*AND(J119&lt;&gt;"",OR(L119&lt;&gt;"",M119&lt;&gt;""))+15*(AS119&gt;0)+10*(AT119&gt;0)+10*(COUNTIF(AM119:AR119,"Да")&gt;0)+10*IF(A119="Внешний вендор",D119&lt;&gt;"",E119&lt;&gt;"")+5*(I119&lt;&gt;"")+5*IF(A119="Внешний вендор",G119&lt;&gt;"",TRUE))/100)</f>
        <v/>
      </c>
      <c r="AV119" s="21" t="n"/>
      <c r="AW119" s="21" t="n"/>
    </row>
    <row r="120">
      <c r="A120" s="25" t="n"/>
      <c r="B120" s="25" t="n"/>
      <c r="C120" s="25" t="n"/>
      <c r="D120" s="3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  <c r="AD120" s="25" t="n"/>
      <c r="AE120" s="25" t="n"/>
      <c r="AF120" s="25" t="n"/>
      <c r="AG120" s="25" t="n"/>
      <c r="AH120" s="25" t="n"/>
      <c r="AI120" s="25" t="n"/>
      <c r="AJ120" s="25" t="n"/>
      <c r="AK120" s="25" t="n"/>
      <c r="AL120" s="25" t="n"/>
      <c r="AM120" s="25" t="n"/>
      <c r="AN120" s="25" t="n"/>
      <c r="AO120" s="25" t="n"/>
      <c r="AP120" s="25" t="n"/>
      <c r="AQ120" s="25" t="n"/>
      <c r="AR120" s="25" t="n"/>
      <c r="AS120" s="22">
        <f>IF($B120="","",COUNTIF('Портфолио'!$A$5:$A$205,$B120))</f>
        <v/>
      </c>
      <c r="AT120" s="22">
        <f>IF($B120="","",COUNTIF('Решения'!$A$5:$A$205,$B120))</f>
        <v/>
      </c>
      <c r="AU120" s="36">
        <f>IF($B120="","",(15*(R120&lt;&gt;"")+15*(COUNTIF(T120:AE120,"Да")&gt;0)+15*AND(J120&lt;&gt;"",OR(L120&lt;&gt;"",M120&lt;&gt;""))+15*(AS120&gt;0)+10*(AT120&gt;0)+10*(COUNTIF(AM120:AR120,"Да")&gt;0)+10*IF(A120="Внешний вендор",D120&lt;&gt;"",E120&lt;&gt;"")+5*(I120&lt;&gt;"")+5*IF(A120="Внешний вендор",G120&lt;&gt;"",TRUE))/100)</f>
        <v/>
      </c>
      <c r="AV120" s="21" t="n"/>
      <c r="AW120" s="21" t="n"/>
    </row>
    <row r="121">
      <c r="A121" s="25" t="n"/>
      <c r="B121" s="25" t="n"/>
      <c r="C121" s="25" t="n"/>
      <c r="D121" s="3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  <c r="AD121" s="25" t="n"/>
      <c r="AE121" s="25" t="n"/>
      <c r="AF121" s="25" t="n"/>
      <c r="AG121" s="25" t="n"/>
      <c r="AH121" s="25" t="n"/>
      <c r="AI121" s="25" t="n"/>
      <c r="AJ121" s="25" t="n"/>
      <c r="AK121" s="25" t="n"/>
      <c r="AL121" s="25" t="n"/>
      <c r="AM121" s="25" t="n"/>
      <c r="AN121" s="25" t="n"/>
      <c r="AO121" s="25" t="n"/>
      <c r="AP121" s="25" t="n"/>
      <c r="AQ121" s="25" t="n"/>
      <c r="AR121" s="25" t="n"/>
      <c r="AS121" s="22">
        <f>IF($B121="","",COUNTIF('Портфолио'!$A$5:$A$205,$B121))</f>
        <v/>
      </c>
      <c r="AT121" s="22">
        <f>IF($B121="","",COUNTIF('Решения'!$A$5:$A$205,$B121))</f>
        <v/>
      </c>
      <c r="AU121" s="36">
        <f>IF($B121="","",(15*(R121&lt;&gt;"")+15*(COUNTIF(T121:AE121,"Да")&gt;0)+15*AND(J121&lt;&gt;"",OR(L121&lt;&gt;"",M121&lt;&gt;""))+15*(AS121&gt;0)+10*(AT121&gt;0)+10*(COUNTIF(AM121:AR121,"Да")&gt;0)+10*IF(A121="Внешний вендор",D121&lt;&gt;"",E121&lt;&gt;"")+5*(I121&lt;&gt;"")+5*IF(A121="Внешний вендор",G121&lt;&gt;"",TRUE))/100)</f>
        <v/>
      </c>
      <c r="AV121" s="21" t="n"/>
      <c r="AW121" s="21" t="n"/>
    </row>
    <row r="122">
      <c r="A122" s="25" t="n"/>
      <c r="B122" s="25" t="n"/>
      <c r="C122" s="25" t="n"/>
      <c r="D122" s="3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  <c r="AL122" s="25" t="n"/>
      <c r="AM122" s="25" t="n"/>
      <c r="AN122" s="25" t="n"/>
      <c r="AO122" s="25" t="n"/>
      <c r="AP122" s="25" t="n"/>
      <c r="AQ122" s="25" t="n"/>
      <c r="AR122" s="25" t="n"/>
      <c r="AS122" s="22">
        <f>IF($B122="","",COUNTIF('Портфолио'!$A$5:$A$205,$B122))</f>
        <v/>
      </c>
      <c r="AT122" s="22">
        <f>IF($B122="","",COUNTIF('Решения'!$A$5:$A$205,$B122))</f>
        <v/>
      </c>
      <c r="AU122" s="36">
        <f>IF($B122="","",(15*(R122&lt;&gt;"")+15*(COUNTIF(T122:AE122,"Да")&gt;0)+15*AND(J122&lt;&gt;"",OR(L122&lt;&gt;"",M122&lt;&gt;""))+15*(AS122&gt;0)+10*(AT122&gt;0)+10*(COUNTIF(AM122:AR122,"Да")&gt;0)+10*IF(A122="Внешний вендор",D122&lt;&gt;"",E122&lt;&gt;"")+5*(I122&lt;&gt;"")+5*IF(A122="Внешний вендор",G122&lt;&gt;"",TRUE))/100)</f>
        <v/>
      </c>
      <c r="AV122" s="21" t="n"/>
      <c r="AW122" s="21" t="n"/>
    </row>
    <row r="123">
      <c r="A123" s="25" t="n"/>
      <c r="B123" s="25" t="n"/>
      <c r="C123" s="25" t="n"/>
      <c r="D123" s="3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5" t="n"/>
      <c r="AI123" s="25" t="n"/>
      <c r="AJ123" s="25" t="n"/>
      <c r="AK123" s="25" t="n"/>
      <c r="AL123" s="25" t="n"/>
      <c r="AM123" s="25" t="n"/>
      <c r="AN123" s="25" t="n"/>
      <c r="AO123" s="25" t="n"/>
      <c r="AP123" s="25" t="n"/>
      <c r="AQ123" s="25" t="n"/>
      <c r="AR123" s="25" t="n"/>
      <c r="AS123" s="22">
        <f>IF($B123="","",COUNTIF('Портфолио'!$A$5:$A$205,$B123))</f>
        <v/>
      </c>
      <c r="AT123" s="22">
        <f>IF($B123="","",COUNTIF('Решения'!$A$5:$A$205,$B123))</f>
        <v/>
      </c>
      <c r="AU123" s="36">
        <f>IF($B123="","",(15*(R123&lt;&gt;"")+15*(COUNTIF(T123:AE123,"Да")&gt;0)+15*AND(J123&lt;&gt;"",OR(L123&lt;&gt;"",M123&lt;&gt;""))+15*(AS123&gt;0)+10*(AT123&gt;0)+10*(COUNTIF(AM123:AR123,"Да")&gt;0)+10*IF(A123="Внешний вендор",D123&lt;&gt;"",E123&lt;&gt;"")+5*(I123&lt;&gt;"")+5*IF(A123="Внешний вендор",G123&lt;&gt;"",TRUE))/100)</f>
        <v/>
      </c>
      <c r="AV123" s="21" t="n"/>
      <c r="AW123" s="21" t="n"/>
    </row>
    <row r="124">
      <c r="A124" s="25" t="n"/>
      <c r="B124" s="25" t="n"/>
      <c r="C124" s="25" t="n"/>
      <c r="D124" s="3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  <c r="AD124" s="25" t="n"/>
      <c r="AE124" s="25" t="n"/>
      <c r="AF124" s="25" t="n"/>
      <c r="AG124" s="25" t="n"/>
      <c r="AH124" s="25" t="n"/>
      <c r="AI124" s="25" t="n"/>
      <c r="AJ124" s="25" t="n"/>
      <c r="AK124" s="25" t="n"/>
      <c r="AL124" s="25" t="n"/>
      <c r="AM124" s="25" t="n"/>
      <c r="AN124" s="25" t="n"/>
      <c r="AO124" s="25" t="n"/>
      <c r="AP124" s="25" t="n"/>
      <c r="AQ124" s="25" t="n"/>
      <c r="AR124" s="25" t="n"/>
      <c r="AS124" s="22">
        <f>IF($B124="","",COUNTIF('Портфолио'!$A$5:$A$205,$B124))</f>
        <v/>
      </c>
      <c r="AT124" s="22">
        <f>IF($B124="","",COUNTIF('Решения'!$A$5:$A$205,$B124))</f>
        <v/>
      </c>
      <c r="AU124" s="36">
        <f>IF($B124="","",(15*(R124&lt;&gt;"")+15*(COUNTIF(T124:AE124,"Да")&gt;0)+15*AND(J124&lt;&gt;"",OR(L124&lt;&gt;"",M124&lt;&gt;""))+15*(AS124&gt;0)+10*(AT124&gt;0)+10*(COUNTIF(AM124:AR124,"Да")&gt;0)+10*IF(A124="Внешний вендор",D124&lt;&gt;"",E124&lt;&gt;"")+5*(I124&lt;&gt;"")+5*IF(A124="Внешний вендор",G124&lt;&gt;"",TRUE))/100)</f>
        <v/>
      </c>
      <c r="AV124" s="21" t="n"/>
      <c r="AW124" s="21" t="n"/>
    </row>
    <row r="125">
      <c r="A125" s="25" t="n"/>
      <c r="B125" s="25" t="n"/>
      <c r="C125" s="25" t="n"/>
      <c r="D125" s="3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  <c r="AD125" s="25" t="n"/>
      <c r="AE125" s="25" t="n"/>
      <c r="AF125" s="25" t="n"/>
      <c r="AG125" s="25" t="n"/>
      <c r="AH125" s="25" t="n"/>
      <c r="AI125" s="25" t="n"/>
      <c r="AJ125" s="25" t="n"/>
      <c r="AK125" s="25" t="n"/>
      <c r="AL125" s="25" t="n"/>
      <c r="AM125" s="25" t="n"/>
      <c r="AN125" s="25" t="n"/>
      <c r="AO125" s="25" t="n"/>
      <c r="AP125" s="25" t="n"/>
      <c r="AQ125" s="25" t="n"/>
      <c r="AR125" s="25" t="n"/>
      <c r="AS125" s="22">
        <f>IF($B125="","",COUNTIF('Портфолио'!$A$5:$A$205,$B125))</f>
        <v/>
      </c>
      <c r="AT125" s="22">
        <f>IF($B125="","",COUNTIF('Решения'!$A$5:$A$205,$B125))</f>
        <v/>
      </c>
      <c r="AU125" s="36">
        <f>IF($B125="","",(15*(R125&lt;&gt;"")+15*(COUNTIF(T125:AE125,"Да")&gt;0)+15*AND(J125&lt;&gt;"",OR(L125&lt;&gt;"",M125&lt;&gt;""))+15*(AS125&gt;0)+10*(AT125&gt;0)+10*(COUNTIF(AM125:AR125,"Да")&gt;0)+10*IF(A125="Внешний вендор",D125&lt;&gt;"",E125&lt;&gt;"")+5*(I125&lt;&gt;"")+5*IF(A125="Внешний вендор",G125&lt;&gt;"",TRUE))/100)</f>
        <v/>
      </c>
      <c r="AV125" s="21" t="n"/>
      <c r="AW125" s="21" t="n"/>
    </row>
    <row r="126">
      <c r="A126" s="25" t="n"/>
      <c r="B126" s="25" t="n"/>
      <c r="C126" s="25" t="n"/>
      <c r="D126" s="3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  <c r="AL126" s="25" t="n"/>
      <c r="AM126" s="25" t="n"/>
      <c r="AN126" s="25" t="n"/>
      <c r="AO126" s="25" t="n"/>
      <c r="AP126" s="25" t="n"/>
      <c r="AQ126" s="25" t="n"/>
      <c r="AR126" s="25" t="n"/>
      <c r="AS126" s="22">
        <f>IF($B126="","",COUNTIF('Портфолио'!$A$5:$A$205,$B126))</f>
        <v/>
      </c>
      <c r="AT126" s="22">
        <f>IF($B126="","",COUNTIF('Решения'!$A$5:$A$205,$B126))</f>
        <v/>
      </c>
      <c r="AU126" s="36">
        <f>IF($B126="","",(15*(R126&lt;&gt;"")+15*(COUNTIF(T126:AE126,"Да")&gt;0)+15*AND(J126&lt;&gt;"",OR(L126&lt;&gt;"",M126&lt;&gt;""))+15*(AS126&gt;0)+10*(AT126&gt;0)+10*(COUNTIF(AM126:AR126,"Да")&gt;0)+10*IF(A126="Внешний вендор",D126&lt;&gt;"",E126&lt;&gt;"")+5*(I126&lt;&gt;"")+5*IF(A126="Внешний вендор",G126&lt;&gt;"",TRUE))/100)</f>
        <v/>
      </c>
      <c r="AV126" s="21" t="n"/>
      <c r="AW126" s="21" t="n"/>
    </row>
    <row r="127">
      <c r="A127" s="25" t="n"/>
      <c r="B127" s="25" t="n"/>
      <c r="C127" s="25" t="n"/>
      <c r="D127" s="3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  <c r="AD127" s="25" t="n"/>
      <c r="AE127" s="25" t="n"/>
      <c r="AF127" s="25" t="n"/>
      <c r="AG127" s="25" t="n"/>
      <c r="AH127" s="25" t="n"/>
      <c r="AI127" s="25" t="n"/>
      <c r="AJ127" s="25" t="n"/>
      <c r="AK127" s="25" t="n"/>
      <c r="AL127" s="25" t="n"/>
      <c r="AM127" s="25" t="n"/>
      <c r="AN127" s="25" t="n"/>
      <c r="AO127" s="25" t="n"/>
      <c r="AP127" s="25" t="n"/>
      <c r="AQ127" s="25" t="n"/>
      <c r="AR127" s="25" t="n"/>
      <c r="AS127" s="22">
        <f>IF($B127="","",COUNTIF('Портфолио'!$A$5:$A$205,$B127))</f>
        <v/>
      </c>
      <c r="AT127" s="22">
        <f>IF($B127="","",COUNTIF('Решения'!$A$5:$A$205,$B127))</f>
        <v/>
      </c>
      <c r="AU127" s="36">
        <f>IF($B127="","",(15*(R127&lt;&gt;"")+15*(COUNTIF(T127:AE127,"Да")&gt;0)+15*AND(J127&lt;&gt;"",OR(L127&lt;&gt;"",M127&lt;&gt;""))+15*(AS127&gt;0)+10*(AT127&gt;0)+10*(COUNTIF(AM127:AR127,"Да")&gt;0)+10*IF(A127="Внешний вендор",D127&lt;&gt;"",E127&lt;&gt;"")+5*(I127&lt;&gt;"")+5*IF(A127="Внешний вендор",G127&lt;&gt;"",TRUE))/100)</f>
        <v/>
      </c>
      <c r="AV127" s="21" t="n"/>
      <c r="AW127" s="21" t="n"/>
    </row>
    <row r="128">
      <c r="A128" s="25" t="n"/>
      <c r="B128" s="25" t="n"/>
      <c r="C128" s="25" t="n"/>
      <c r="D128" s="3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  <c r="AD128" s="25" t="n"/>
      <c r="AE128" s="25" t="n"/>
      <c r="AF128" s="25" t="n"/>
      <c r="AG128" s="25" t="n"/>
      <c r="AH128" s="25" t="n"/>
      <c r="AI128" s="25" t="n"/>
      <c r="AJ128" s="25" t="n"/>
      <c r="AK128" s="25" t="n"/>
      <c r="AL128" s="25" t="n"/>
      <c r="AM128" s="25" t="n"/>
      <c r="AN128" s="25" t="n"/>
      <c r="AO128" s="25" t="n"/>
      <c r="AP128" s="25" t="n"/>
      <c r="AQ128" s="25" t="n"/>
      <c r="AR128" s="25" t="n"/>
      <c r="AS128" s="22">
        <f>IF($B128="","",COUNTIF('Портфолио'!$A$5:$A$205,$B128))</f>
        <v/>
      </c>
      <c r="AT128" s="22">
        <f>IF($B128="","",COUNTIF('Решения'!$A$5:$A$205,$B128))</f>
        <v/>
      </c>
      <c r="AU128" s="36">
        <f>IF($B128="","",(15*(R128&lt;&gt;"")+15*(COUNTIF(T128:AE128,"Да")&gt;0)+15*AND(J128&lt;&gt;"",OR(L128&lt;&gt;"",M128&lt;&gt;""))+15*(AS128&gt;0)+10*(AT128&gt;0)+10*(COUNTIF(AM128:AR128,"Да")&gt;0)+10*IF(A128="Внешний вендор",D128&lt;&gt;"",E128&lt;&gt;"")+5*(I128&lt;&gt;"")+5*IF(A128="Внешний вендор",G128&lt;&gt;"",TRUE))/100)</f>
        <v/>
      </c>
      <c r="AV128" s="21" t="n"/>
      <c r="AW128" s="21" t="n"/>
    </row>
    <row r="129">
      <c r="A129" s="25" t="n"/>
      <c r="B129" s="25" t="n"/>
      <c r="C129" s="25" t="n"/>
      <c r="D129" s="3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  <c r="AD129" s="25" t="n"/>
      <c r="AE129" s="25" t="n"/>
      <c r="AF129" s="25" t="n"/>
      <c r="AG129" s="25" t="n"/>
      <c r="AH129" s="25" t="n"/>
      <c r="AI129" s="25" t="n"/>
      <c r="AJ129" s="25" t="n"/>
      <c r="AK129" s="25" t="n"/>
      <c r="AL129" s="25" t="n"/>
      <c r="AM129" s="25" t="n"/>
      <c r="AN129" s="25" t="n"/>
      <c r="AO129" s="25" t="n"/>
      <c r="AP129" s="25" t="n"/>
      <c r="AQ129" s="25" t="n"/>
      <c r="AR129" s="25" t="n"/>
      <c r="AS129" s="22">
        <f>IF($B129="","",COUNTIF('Портфолио'!$A$5:$A$205,$B129))</f>
        <v/>
      </c>
      <c r="AT129" s="22">
        <f>IF($B129="","",COUNTIF('Решения'!$A$5:$A$205,$B129))</f>
        <v/>
      </c>
      <c r="AU129" s="36">
        <f>IF($B129="","",(15*(R129&lt;&gt;"")+15*(COUNTIF(T129:AE129,"Да")&gt;0)+15*AND(J129&lt;&gt;"",OR(L129&lt;&gt;"",M129&lt;&gt;""))+15*(AS129&gt;0)+10*(AT129&gt;0)+10*(COUNTIF(AM129:AR129,"Да")&gt;0)+10*IF(A129="Внешний вендор",D129&lt;&gt;"",E129&lt;&gt;"")+5*(I129&lt;&gt;"")+5*IF(A129="Внешний вендор",G129&lt;&gt;"",TRUE))/100)</f>
        <v/>
      </c>
      <c r="AV129" s="21" t="n"/>
      <c r="AW129" s="21" t="n"/>
    </row>
    <row r="130">
      <c r="A130" s="25" t="n"/>
      <c r="B130" s="25" t="n"/>
      <c r="C130" s="25" t="n"/>
      <c r="D130" s="3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  <c r="AL130" s="25" t="n"/>
      <c r="AM130" s="25" t="n"/>
      <c r="AN130" s="25" t="n"/>
      <c r="AO130" s="25" t="n"/>
      <c r="AP130" s="25" t="n"/>
      <c r="AQ130" s="25" t="n"/>
      <c r="AR130" s="25" t="n"/>
      <c r="AS130" s="22">
        <f>IF($B130="","",COUNTIF('Портфолио'!$A$5:$A$205,$B130))</f>
        <v/>
      </c>
      <c r="AT130" s="22">
        <f>IF($B130="","",COUNTIF('Решения'!$A$5:$A$205,$B130))</f>
        <v/>
      </c>
      <c r="AU130" s="36">
        <f>IF($B130="","",(15*(R130&lt;&gt;"")+15*(COUNTIF(T130:AE130,"Да")&gt;0)+15*AND(J130&lt;&gt;"",OR(L130&lt;&gt;"",M130&lt;&gt;""))+15*(AS130&gt;0)+10*(AT130&gt;0)+10*(COUNTIF(AM130:AR130,"Да")&gt;0)+10*IF(A130="Внешний вендор",D130&lt;&gt;"",E130&lt;&gt;"")+5*(I130&lt;&gt;"")+5*IF(A130="Внешний вендор",G130&lt;&gt;"",TRUE))/100)</f>
        <v/>
      </c>
      <c r="AV130" s="21" t="n"/>
      <c r="AW130" s="21" t="n"/>
    </row>
    <row r="131">
      <c r="A131" s="25" t="n"/>
      <c r="B131" s="25" t="n"/>
      <c r="C131" s="25" t="n"/>
      <c r="D131" s="3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  <c r="AD131" s="25" t="n"/>
      <c r="AE131" s="25" t="n"/>
      <c r="AF131" s="25" t="n"/>
      <c r="AG131" s="25" t="n"/>
      <c r="AH131" s="25" t="n"/>
      <c r="AI131" s="25" t="n"/>
      <c r="AJ131" s="25" t="n"/>
      <c r="AK131" s="25" t="n"/>
      <c r="AL131" s="25" t="n"/>
      <c r="AM131" s="25" t="n"/>
      <c r="AN131" s="25" t="n"/>
      <c r="AO131" s="25" t="n"/>
      <c r="AP131" s="25" t="n"/>
      <c r="AQ131" s="25" t="n"/>
      <c r="AR131" s="25" t="n"/>
      <c r="AS131" s="22">
        <f>IF($B131="","",COUNTIF('Портфолио'!$A$5:$A$205,$B131))</f>
        <v/>
      </c>
      <c r="AT131" s="22">
        <f>IF($B131="","",COUNTIF('Решения'!$A$5:$A$205,$B131))</f>
        <v/>
      </c>
      <c r="AU131" s="36">
        <f>IF($B131="","",(15*(R131&lt;&gt;"")+15*(COUNTIF(T131:AE131,"Да")&gt;0)+15*AND(J131&lt;&gt;"",OR(L131&lt;&gt;"",M131&lt;&gt;""))+15*(AS131&gt;0)+10*(AT131&gt;0)+10*(COUNTIF(AM131:AR131,"Да")&gt;0)+10*IF(A131="Внешний вендор",D131&lt;&gt;"",E131&lt;&gt;"")+5*(I131&lt;&gt;"")+5*IF(A131="Внешний вендор",G131&lt;&gt;"",TRUE))/100)</f>
        <v/>
      </c>
      <c r="AV131" s="21" t="n"/>
      <c r="AW131" s="21" t="n"/>
    </row>
    <row r="132">
      <c r="A132" s="25" t="n"/>
      <c r="B132" s="25" t="n"/>
      <c r="C132" s="25" t="n"/>
      <c r="D132" s="3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  <c r="AS132" s="22">
        <f>IF($B132="","",COUNTIF('Портфолио'!$A$5:$A$205,$B132))</f>
        <v/>
      </c>
      <c r="AT132" s="22">
        <f>IF($B132="","",COUNTIF('Решения'!$A$5:$A$205,$B132))</f>
        <v/>
      </c>
      <c r="AU132" s="36">
        <f>IF($B132="","",(15*(R132&lt;&gt;"")+15*(COUNTIF(T132:AE132,"Да")&gt;0)+15*AND(J132&lt;&gt;"",OR(L132&lt;&gt;"",M132&lt;&gt;""))+15*(AS132&gt;0)+10*(AT132&gt;0)+10*(COUNTIF(AM132:AR132,"Да")&gt;0)+10*IF(A132="Внешний вендор",D132&lt;&gt;"",E132&lt;&gt;"")+5*(I132&lt;&gt;"")+5*IF(A132="Внешний вендор",G132&lt;&gt;"",TRUE))/100)</f>
        <v/>
      </c>
      <c r="AV132" s="21" t="n"/>
      <c r="AW132" s="21" t="n"/>
    </row>
    <row r="133">
      <c r="A133" s="25" t="n"/>
      <c r="B133" s="25" t="n"/>
      <c r="C133" s="25" t="n"/>
      <c r="D133" s="3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  <c r="AD133" s="25" t="n"/>
      <c r="AE133" s="25" t="n"/>
      <c r="AF133" s="25" t="n"/>
      <c r="AG133" s="25" t="n"/>
      <c r="AH133" s="25" t="n"/>
      <c r="AI133" s="25" t="n"/>
      <c r="AJ133" s="25" t="n"/>
      <c r="AK133" s="25" t="n"/>
      <c r="AL133" s="25" t="n"/>
      <c r="AM133" s="25" t="n"/>
      <c r="AN133" s="25" t="n"/>
      <c r="AO133" s="25" t="n"/>
      <c r="AP133" s="25" t="n"/>
      <c r="AQ133" s="25" t="n"/>
      <c r="AR133" s="25" t="n"/>
      <c r="AS133" s="22">
        <f>IF($B133="","",COUNTIF('Портфолио'!$A$5:$A$205,$B133))</f>
        <v/>
      </c>
      <c r="AT133" s="22">
        <f>IF($B133="","",COUNTIF('Решения'!$A$5:$A$205,$B133))</f>
        <v/>
      </c>
      <c r="AU133" s="36">
        <f>IF($B133="","",(15*(R133&lt;&gt;"")+15*(COUNTIF(T133:AE133,"Да")&gt;0)+15*AND(J133&lt;&gt;"",OR(L133&lt;&gt;"",M133&lt;&gt;""))+15*(AS133&gt;0)+10*(AT133&gt;0)+10*(COUNTIF(AM133:AR133,"Да")&gt;0)+10*IF(A133="Внешний вендор",D133&lt;&gt;"",E133&lt;&gt;"")+5*(I133&lt;&gt;"")+5*IF(A133="Внешний вендор",G133&lt;&gt;"",TRUE))/100)</f>
        <v/>
      </c>
      <c r="AV133" s="21" t="n"/>
      <c r="AW133" s="21" t="n"/>
    </row>
    <row r="134">
      <c r="A134" s="25" t="n"/>
      <c r="B134" s="25" t="n"/>
      <c r="C134" s="25" t="n"/>
      <c r="D134" s="3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  <c r="AL134" s="25" t="n"/>
      <c r="AM134" s="25" t="n"/>
      <c r="AN134" s="25" t="n"/>
      <c r="AO134" s="25" t="n"/>
      <c r="AP134" s="25" t="n"/>
      <c r="AQ134" s="25" t="n"/>
      <c r="AR134" s="25" t="n"/>
      <c r="AS134" s="22">
        <f>IF($B134="","",COUNTIF('Портфолио'!$A$5:$A$205,$B134))</f>
        <v/>
      </c>
      <c r="AT134" s="22">
        <f>IF($B134="","",COUNTIF('Решения'!$A$5:$A$205,$B134))</f>
        <v/>
      </c>
      <c r="AU134" s="36">
        <f>IF($B134="","",(15*(R134&lt;&gt;"")+15*(COUNTIF(T134:AE134,"Да")&gt;0)+15*AND(J134&lt;&gt;"",OR(L134&lt;&gt;"",M134&lt;&gt;""))+15*(AS134&gt;0)+10*(AT134&gt;0)+10*(COUNTIF(AM134:AR134,"Да")&gt;0)+10*IF(A134="Внешний вендор",D134&lt;&gt;"",E134&lt;&gt;"")+5*(I134&lt;&gt;"")+5*IF(A134="Внешний вендор",G134&lt;&gt;"",TRUE))/100)</f>
        <v/>
      </c>
      <c r="AV134" s="21" t="n"/>
      <c r="AW134" s="21" t="n"/>
    </row>
    <row r="135">
      <c r="A135" s="25" t="n"/>
      <c r="B135" s="25" t="n"/>
      <c r="C135" s="25" t="n"/>
      <c r="D135" s="3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  <c r="AD135" s="25" t="n"/>
      <c r="AE135" s="25" t="n"/>
      <c r="AF135" s="25" t="n"/>
      <c r="AG135" s="25" t="n"/>
      <c r="AH135" s="25" t="n"/>
      <c r="AI135" s="25" t="n"/>
      <c r="AJ135" s="25" t="n"/>
      <c r="AK135" s="25" t="n"/>
      <c r="AL135" s="25" t="n"/>
      <c r="AM135" s="25" t="n"/>
      <c r="AN135" s="25" t="n"/>
      <c r="AO135" s="25" t="n"/>
      <c r="AP135" s="25" t="n"/>
      <c r="AQ135" s="25" t="n"/>
      <c r="AR135" s="25" t="n"/>
      <c r="AS135" s="22">
        <f>IF($B135="","",COUNTIF('Портфолио'!$A$5:$A$205,$B135))</f>
        <v/>
      </c>
      <c r="AT135" s="22">
        <f>IF($B135="","",COUNTIF('Решения'!$A$5:$A$205,$B135))</f>
        <v/>
      </c>
      <c r="AU135" s="36">
        <f>IF($B135="","",(15*(R135&lt;&gt;"")+15*(COUNTIF(T135:AE135,"Да")&gt;0)+15*AND(J135&lt;&gt;"",OR(L135&lt;&gt;"",M135&lt;&gt;""))+15*(AS135&gt;0)+10*(AT135&gt;0)+10*(COUNTIF(AM135:AR135,"Да")&gt;0)+10*IF(A135="Внешний вендор",D135&lt;&gt;"",E135&lt;&gt;"")+5*(I135&lt;&gt;"")+5*IF(A135="Внешний вендор",G135&lt;&gt;"",TRUE))/100)</f>
        <v/>
      </c>
      <c r="AV135" s="21" t="n"/>
      <c r="AW135" s="21" t="n"/>
    </row>
    <row r="136">
      <c r="A136" s="25" t="n"/>
      <c r="B136" s="25" t="n"/>
      <c r="C136" s="25" t="n"/>
      <c r="D136" s="3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25" t="n"/>
      <c r="AL136" s="25" t="n"/>
      <c r="AM136" s="25" t="n"/>
      <c r="AN136" s="25" t="n"/>
      <c r="AO136" s="25" t="n"/>
      <c r="AP136" s="25" t="n"/>
      <c r="AQ136" s="25" t="n"/>
      <c r="AR136" s="25" t="n"/>
      <c r="AS136" s="22">
        <f>IF($B136="","",COUNTIF('Портфолио'!$A$5:$A$205,$B136))</f>
        <v/>
      </c>
      <c r="AT136" s="22">
        <f>IF($B136="","",COUNTIF('Решения'!$A$5:$A$205,$B136))</f>
        <v/>
      </c>
      <c r="AU136" s="36">
        <f>IF($B136="","",(15*(R136&lt;&gt;"")+15*(COUNTIF(T136:AE136,"Да")&gt;0)+15*AND(J136&lt;&gt;"",OR(L136&lt;&gt;"",M136&lt;&gt;""))+15*(AS136&gt;0)+10*(AT136&gt;0)+10*(COUNTIF(AM136:AR136,"Да")&gt;0)+10*IF(A136="Внешний вендор",D136&lt;&gt;"",E136&lt;&gt;"")+5*(I136&lt;&gt;"")+5*IF(A136="Внешний вендор",G136&lt;&gt;"",TRUE))/100)</f>
        <v/>
      </c>
      <c r="AV136" s="21" t="n"/>
      <c r="AW136" s="21" t="n"/>
    </row>
    <row r="137">
      <c r="A137" s="25" t="n"/>
      <c r="B137" s="25" t="n"/>
      <c r="C137" s="25" t="n"/>
      <c r="D137" s="3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  <c r="AD137" s="25" t="n"/>
      <c r="AE137" s="25" t="n"/>
      <c r="AF137" s="25" t="n"/>
      <c r="AG137" s="25" t="n"/>
      <c r="AH137" s="25" t="n"/>
      <c r="AI137" s="25" t="n"/>
      <c r="AJ137" s="25" t="n"/>
      <c r="AK137" s="25" t="n"/>
      <c r="AL137" s="25" t="n"/>
      <c r="AM137" s="25" t="n"/>
      <c r="AN137" s="25" t="n"/>
      <c r="AO137" s="25" t="n"/>
      <c r="AP137" s="25" t="n"/>
      <c r="AQ137" s="25" t="n"/>
      <c r="AR137" s="25" t="n"/>
      <c r="AS137" s="22">
        <f>IF($B137="","",COUNTIF('Портфолио'!$A$5:$A$205,$B137))</f>
        <v/>
      </c>
      <c r="AT137" s="22">
        <f>IF($B137="","",COUNTIF('Решения'!$A$5:$A$205,$B137))</f>
        <v/>
      </c>
      <c r="AU137" s="36">
        <f>IF($B137="","",(15*(R137&lt;&gt;"")+15*(COUNTIF(T137:AE137,"Да")&gt;0)+15*AND(J137&lt;&gt;"",OR(L137&lt;&gt;"",M137&lt;&gt;""))+15*(AS137&gt;0)+10*(AT137&gt;0)+10*(COUNTIF(AM137:AR137,"Да")&gt;0)+10*IF(A137="Внешний вендор",D137&lt;&gt;"",E137&lt;&gt;"")+5*(I137&lt;&gt;"")+5*IF(A137="Внешний вендор",G137&lt;&gt;"",TRUE))/100)</f>
        <v/>
      </c>
      <c r="AV137" s="21" t="n"/>
      <c r="AW137" s="21" t="n"/>
    </row>
    <row r="138">
      <c r="A138" s="25" t="n"/>
      <c r="B138" s="25" t="n"/>
      <c r="C138" s="25" t="n"/>
      <c r="D138" s="3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  <c r="AL138" s="25" t="n"/>
      <c r="AM138" s="25" t="n"/>
      <c r="AN138" s="25" t="n"/>
      <c r="AO138" s="25" t="n"/>
      <c r="AP138" s="25" t="n"/>
      <c r="AQ138" s="25" t="n"/>
      <c r="AR138" s="25" t="n"/>
      <c r="AS138" s="22">
        <f>IF($B138="","",COUNTIF('Портфолио'!$A$5:$A$205,$B138))</f>
        <v/>
      </c>
      <c r="AT138" s="22">
        <f>IF($B138="","",COUNTIF('Решения'!$A$5:$A$205,$B138))</f>
        <v/>
      </c>
      <c r="AU138" s="36">
        <f>IF($B138="","",(15*(R138&lt;&gt;"")+15*(COUNTIF(T138:AE138,"Да")&gt;0)+15*AND(J138&lt;&gt;"",OR(L138&lt;&gt;"",M138&lt;&gt;""))+15*(AS138&gt;0)+10*(AT138&gt;0)+10*(COUNTIF(AM138:AR138,"Да")&gt;0)+10*IF(A138="Внешний вендор",D138&lt;&gt;"",E138&lt;&gt;"")+5*(I138&lt;&gt;"")+5*IF(A138="Внешний вендор",G138&lt;&gt;"",TRUE))/100)</f>
        <v/>
      </c>
      <c r="AV138" s="21" t="n"/>
      <c r="AW138" s="21" t="n"/>
    </row>
    <row r="139">
      <c r="A139" s="25" t="n"/>
      <c r="B139" s="25" t="n"/>
      <c r="C139" s="25" t="n"/>
      <c r="D139" s="3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  <c r="AD139" s="25" t="n"/>
      <c r="AE139" s="25" t="n"/>
      <c r="AF139" s="25" t="n"/>
      <c r="AG139" s="25" t="n"/>
      <c r="AH139" s="25" t="n"/>
      <c r="AI139" s="25" t="n"/>
      <c r="AJ139" s="25" t="n"/>
      <c r="AK139" s="25" t="n"/>
      <c r="AL139" s="25" t="n"/>
      <c r="AM139" s="25" t="n"/>
      <c r="AN139" s="25" t="n"/>
      <c r="AO139" s="25" t="n"/>
      <c r="AP139" s="25" t="n"/>
      <c r="AQ139" s="25" t="n"/>
      <c r="AR139" s="25" t="n"/>
      <c r="AS139" s="22">
        <f>IF($B139="","",COUNTIF('Портфолио'!$A$5:$A$205,$B139))</f>
        <v/>
      </c>
      <c r="AT139" s="22">
        <f>IF($B139="","",COUNTIF('Решения'!$A$5:$A$205,$B139))</f>
        <v/>
      </c>
      <c r="AU139" s="36">
        <f>IF($B139="","",(15*(R139&lt;&gt;"")+15*(COUNTIF(T139:AE139,"Да")&gt;0)+15*AND(J139&lt;&gt;"",OR(L139&lt;&gt;"",M139&lt;&gt;""))+15*(AS139&gt;0)+10*(AT139&gt;0)+10*(COUNTIF(AM139:AR139,"Да")&gt;0)+10*IF(A139="Внешний вендор",D139&lt;&gt;"",E139&lt;&gt;"")+5*(I139&lt;&gt;"")+5*IF(A139="Внешний вендор",G139&lt;&gt;"",TRUE))/100)</f>
        <v/>
      </c>
      <c r="AV139" s="21" t="n"/>
      <c r="AW139" s="21" t="n"/>
    </row>
    <row r="140">
      <c r="A140" s="25" t="n"/>
      <c r="B140" s="25" t="n"/>
      <c r="C140" s="25" t="n"/>
      <c r="D140" s="3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5" t="n"/>
      <c r="AL140" s="25" t="n"/>
      <c r="AM140" s="25" t="n"/>
      <c r="AN140" s="25" t="n"/>
      <c r="AO140" s="25" t="n"/>
      <c r="AP140" s="25" t="n"/>
      <c r="AQ140" s="25" t="n"/>
      <c r="AR140" s="25" t="n"/>
      <c r="AS140" s="22">
        <f>IF($B140="","",COUNTIF('Портфолио'!$A$5:$A$205,$B140))</f>
        <v/>
      </c>
      <c r="AT140" s="22">
        <f>IF($B140="","",COUNTIF('Решения'!$A$5:$A$205,$B140))</f>
        <v/>
      </c>
      <c r="AU140" s="36">
        <f>IF($B140="","",(15*(R140&lt;&gt;"")+15*(COUNTIF(T140:AE140,"Да")&gt;0)+15*AND(J140&lt;&gt;"",OR(L140&lt;&gt;"",M140&lt;&gt;""))+15*(AS140&gt;0)+10*(AT140&gt;0)+10*(COUNTIF(AM140:AR140,"Да")&gt;0)+10*IF(A140="Внешний вендор",D140&lt;&gt;"",E140&lt;&gt;"")+5*(I140&lt;&gt;"")+5*IF(A140="Внешний вендор",G140&lt;&gt;"",TRUE))/100)</f>
        <v/>
      </c>
      <c r="AV140" s="21" t="n"/>
      <c r="AW140" s="21" t="n"/>
    </row>
    <row r="141">
      <c r="A141" s="25" t="n"/>
      <c r="B141" s="25" t="n"/>
      <c r="C141" s="25" t="n"/>
      <c r="D141" s="3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  <c r="AD141" s="25" t="n"/>
      <c r="AE141" s="25" t="n"/>
      <c r="AF141" s="25" t="n"/>
      <c r="AG141" s="25" t="n"/>
      <c r="AH141" s="25" t="n"/>
      <c r="AI141" s="25" t="n"/>
      <c r="AJ141" s="25" t="n"/>
      <c r="AK141" s="25" t="n"/>
      <c r="AL141" s="25" t="n"/>
      <c r="AM141" s="25" t="n"/>
      <c r="AN141" s="25" t="n"/>
      <c r="AO141" s="25" t="n"/>
      <c r="AP141" s="25" t="n"/>
      <c r="AQ141" s="25" t="n"/>
      <c r="AR141" s="25" t="n"/>
      <c r="AS141" s="22">
        <f>IF($B141="","",COUNTIF('Портфолио'!$A$5:$A$205,$B141))</f>
        <v/>
      </c>
      <c r="AT141" s="22">
        <f>IF($B141="","",COUNTIF('Решения'!$A$5:$A$205,$B141))</f>
        <v/>
      </c>
      <c r="AU141" s="36">
        <f>IF($B141="","",(15*(R141&lt;&gt;"")+15*(COUNTIF(T141:AE141,"Да")&gt;0)+15*AND(J141&lt;&gt;"",OR(L141&lt;&gt;"",M141&lt;&gt;""))+15*(AS141&gt;0)+10*(AT141&gt;0)+10*(COUNTIF(AM141:AR141,"Да")&gt;0)+10*IF(A141="Внешний вендор",D141&lt;&gt;"",E141&lt;&gt;"")+5*(I141&lt;&gt;"")+5*IF(A141="Внешний вендор",G141&lt;&gt;"",TRUE))/100)</f>
        <v/>
      </c>
      <c r="AV141" s="21" t="n"/>
      <c r="AW141" s="21" t="n"/>
    </row>
    <row r="142">
      <c r="A142" s="25" t="n"/>
      <c r="B142" s="25" t="n"/>
      <c r="C142" s="25" t="n"/>
      <c r="D142" s="3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  <c r="AD142" s="25" t="n"/>
      <c r="AE142" s="25" t="n"/>
      <c r="AF142" s="25" t="n"/>
      <c r="AG142" s="25" t="n"/>
      <c r="AH142" s="25" t="n"/>
      <c r="AI142" s="25" t="n"/>
      <c r="AJ142" s="25" t="n"/>
      <c r="AK142" s="25" t="n"/>
      <c r="AL142" s="25" t="n"/>
      <c r="AM142" s="25" t="n"/>
      <c r="AN142" s="25" t="n"/>
      <c r="AO142" s="25" t="n"/>
      <c r="AP142" s="25" t="n"/>
      <c r="AQ142" s="25" t="n"/>
      <c r="AR142" s="25" t="n"/>
      <c r="AS142" s="22">
        <f>IF($B142="","",COUNTIF('Портфолио'!$A$5:$A$205,$B142))</f>
        <v/>
      </c>
      <c r="AT142" s="22">
        <f>IF($B142="","",COUNTIF('Решения'!$A$5:$A$205,$B142))</f>
        <v/>
      </c>
      <c r="AU142" s="36">
        <f>IF($B142="","",(15*(R142&lt;&gt;"")+15*(COUNTIF(T142:AE142,"Да")&gt;0)+15*AND(J142&lt;&gt;"",OR(L142&lt;&gt;"",M142&lt;&gt;""))+15*(AS142&gt;0)+10*(AT142&gt;0)+10*(COUNTIF(AM142:AR142,"Да")&gt;0)+10*IF(A142="Внешний вендор",D142&lt;&gt;"",E142&lt;&gt;"")+5*(I142&lt;&gt;"")+5*IF(A142="Внешний вендор",G142&lt;&gt;"",TRUE))/100)</f>
        <v/>
      </c>
      <c r="AV142" s="21" t="n"/>
      <c r="AW142" s="21" t="n"/>
    </row>
    <row r="143">
      <c r="A143" s="25" t="n"/>
      <c r="B143" s="25" t="n"/>
      <c r="C143" s="25" t="n"/>
      <c r="D143" s="3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  <c r="AD143" s="25" t="n"/>
      <c r="AE143" s="25" t="n"/>
      <c r="AF143" s="25" t="n"/>
      <c r="AG143" s="25" t="n"/>
      <c r="AH143" s="25" t="n"/>
      <c r="AI143" s="25" t="n"/>
      <c r="AJ143" s="25" t="n"/>
      <c r="AK143" s="25" t="n"/>
      <c r="AL143" s="25" t="n"/>
      <c r="AM143" s="25" t="n"/>
      <c r="AN143" s="25" t="n"/>
      <c r="AO143" s="25" t="n"/>
      <c r="AP143" s="25" t="n"/>
      <c r="AQ143" s="25" t="n"/>
      <c r="AR143" s="25" t="n"/>
      <c r="AS143" s="22">
        <f>IF($B143="","",COUNTIF('Портфолио'!$A$5:$A$205,$B143))</f>
        <v/>
      </c>
      <c r="AT143" s="22">
        <f>IF($B143="","",COUNTIF('Решения'!$A$5:$A$205,$B143))</f>
        <v/>
      </c>
      <c r="AU143" s="36">
        <f>IF($B143="","",(15*(R143&lt;&gt;"")+15*(COUNTIF(T143:AE143,"Да")&gt;0)+15*AND(J143&lt;&gt;"",OR(L143&lt;&gt;"",M143&lt;&gt;""))+15*(AS143&gt;0)+10*(AT143&gt;0)+10*(COUNTIF(AM143:AR143,"Да")&gt;0)+10*IF(A143="Внешний вендор",D143&lt;&gt;"",E143&lt;&gt;"")+5*(I143&lt;&gt;"")+5*IF(A143="Внешний вендор",G143&lt;&gt;"",TRUE))/100)</f>
        <v/>
      </c>
      <c r="AV143" s="21" t="n"/>
      <c r="AW143" s="21" t="n"/>
    </row>
    <row r="144">
      <c r="A144" s="25" t="n"/>
      <c r="B144" s="25" t="n"/>
      <c r="C144" s="25" t="n"/>
      <c r="D144" s="3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  <c r="AD144" s="25" t="n"/>
      <c r="AE144" s="25" t="n"/>
      <c r="AF144" s="25" t="n"/>
      <c r="AG144" s="25" t="n"/>
      <c r="AH144" s="25" t="n"/>
      <c r="AI144" s="25" t="n"/>
      <c r="AJ144" s="25" t="n"/>
      <c r="AK144" s="25" t="n"/>
      <c r="AL144" s="25" t="n"/>
      <c r="AM144" s="25" t="n"/>
      <c r="AN144" s="25" t="n"/>
      <c r="AO144" s="25" t="n"/>
      <c r="AP144" s="25" t="n"/>
      <c r="AQ144" s="25" t="n"/>
      <c r="AR144" s="25" t="n"/>
      <c r="AS144" s="22">
        <f>IF($B144="","",COUNTIF('Портфолио'!$A$5:$A$205,$B144))</f>
        <v/>
      </c>
      <c r="AT144" s="22">
        <f>IF($B144="","",COUNTIF('Решения'!$A$5:$A$205,$B144))</f>
        <v/>
      </c>
      <c r="AU144" s="36">
        <f>IF($B144="","",(15*(R144&lt;&gt;"")+15*(COUNTIF(T144:AE144,"Да")&gt;0)+15*AND(J144&lt;&gt;"",OR(L144&lt;&gt;"",M144&lt;&gt;""))+15*(AS144&gt;0)+10*(AT144&gt;0)+10*(COUNTIF(AM144:AR144,"Да")&gt;0)+10*IF(A144="Внешний вендор",D144&lt;&gt;"",E144&lt;&gt;"")+5*(I144&lt;&gt;"")+5*IF(A144="Внешний вендор",G144&lt;&gt;"",TRUE))/100)</f>
        <v/>
      </c>
      <c r="AV144" s="21" t="n"/>
      <c r="AW144" s="21" t="n"/>
    </row>
    <row r="145">
      <c r="A145" s="25" t="n"/>
      <c r="B145" s="25" t="n"/>
      <c r="C145" s="25" t="n"/>
      <c r="D145" s="3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  <c r="AD145" s="25" t="n"/>
      <c r="AE145" s="25" t="n"/>
      <c r="AF145" s="25" t="n"/>
      <c r="AG145" s="25" t="n"/>
      <c r="AH145" s="25" t="n"/>
      <c r="AI145" s="25" t="n"/>
      <c r="AJ145" s="25" t="n"/>
      <c r="AK145" s="25" t="n"/>
      <c r="AL145" s="25" t="n"/>
      <c r="AM145" s="25" t="n"/>
      <c r="AN145" s="25" t="n"/>
      <c r="AO145" s="25" t="n"/>
      <c r="AP145" s="25" t="n"/>
      <c r="AQ145" s="25" t="n"/>
      <c r="AR145" s="25" t="n"/>
      <c r="AS145" s="22">
        <f>IF($B145="","",COUNTIF('Портфолио'!$A$5:$A$205,$B145))</f>
        <v/>
      </c>
      <c r="AT145" s="22">
        <f>IF($B145="","",COUNTIF('Решения'!$A$5:$A$205,$B145))</f>
        <v/>
      </c>
      <c r="AU145" s="36">
        <f>IF($B145="","",(15*(R145&lt;&gt;"")+15*(COUNTIF(T145:AE145,"Да")&gt;0)+15*AND(J145&lt;&gt;"",OR(L145&lt;&gt;"",M145&lt;&gt;""))+15*(AS145&gt;0)+10*(AT145&gt;0)+10*(COUNTIF(AM145:AR145,"Да")&gt;0)+10*IF(A145="Внешний вендор",D145&lt;&gt;"",E145&lt;&gt;"")+5*(I145&lt;&gt;"")+5*IF(A145="Внешний вендор",G145&lt;&gt;"",TRUE))/100)</f>
        <v/>
      </c>
      <c r="AV145" s="21" t="n"/>
      <c r="AW145" s="21" t="n"/>
    </row>
    <row r="146">
      <c r="A146" s="25" t="n"/>
      <c r="B146" s="25" t="n"/>
      <c r="C146" s="25" t="n"/>
      <c r="D146" s="3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  <c r="AD146" s="25" t="n"/>
      <c r="AE146" s="25" t="n"/>
      <c r="AF146" s="25" t="n"/>
      <c r="AG146" s="25" t="n"/>
      <c r="AH146" s="25" t="n"/>
      <c r="AI146" s="25" t="n"/>
      <c r="AJ146" s="25" t="n"/>
      <c r="AK146" s="25" t="n"/>
      <c r="AL146" s="25" t="n"/>
      <c r="AM146" s="25" t="n"/>
      <c r="AN146" s="25" t="n"/>
      <c r="AO146" s="25" t="n"/>
      <c r="AP146" s="25" t="n"/>
      <c r="AQ146" s="25" t="n"/>
      <c r="AR146" s="25" t="n"/>
      <c r="AS146" s="22">
        <f>IF($B146="","",COUNTIF('Портфолио'!$A$5:$A$205,$B146))</f>
        <v/>
      </c>
      <c r="AT146" s="22">
        <f>IF($B146="","",COUNTIF('Решения'!$A$5:$A$205,$B146))</f>
        <v/>
      </c>
      <c r="AU146" s="36">
        <f>IF($B146="","",(15*(R146&lt;&gt;"")+15*(COUNTIF(T146:AE146,"Да")&gt;0)+15*AND(J146&lt;&gt;"",OR(L146&lt;&gt;"",M146&lt;&gt;""))+15*(AS146&gt;0)+10*(AT146&gt;0)+10*(COUNTIF(AM146:AR146,"Да")&gt;0)+10*IF(A146="Внешний вендор",D146&lt;&gt;"",E146&lt;&gt;"")+5*(I146&lt;&gt;"")+5*IF(A146="Внешний вендор",G146&lt;&gt;"",TRUE))/100)</f>
        <v/>
      </c>
      <c r="AV146" s="21" t="n"/>
      <c r="AW146" s="21" t="n"/>
    </row>
    <row r="147">
      <c r="A147" s="25" t="n"/>
      <c r="B147" s="25" t="n"/>
      <c r="C147" s="25" t="n"/>
      <c r="D147" s="3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  <c r="AD147" s="25" t="n"/>
      <c r="AE147" s="25" t="n"/>
      <c r="AF147" s="25" t="n"/>
      <c r="AG147" s="25" t="n"/>
      <c r="AH147" s="25" t="n"/>
      <c r="AI147" s="25" t="n"/>
      <c r="AJ147" s="25" t="n"/>
      <c r="AK147" s="25" t="n"/>
      <c r="AL147" s="25" t="n"/>
      <c r="AM147" s="25" t="n"/>
      <c r="AN147" s="25" t="n"/>
      <c r="AO147" s="25" t="n"/>
      <c r="AP147" s="25" t="n"/>
      <c r="AQ147" s="25" t="n"/>
      <c r="AR147" s="25" t="n"/>
      <c r="AS147" s="22">
        <f>IF($B147="","",COUNTIF('Портфолио'!$A$5:$A$205,$B147))</f>
        <v/>
      </c>
      <c r="AT147" s="22">
        <f>IF($B147="","",COUNTIF('Решения'!$A$5:$A$205,$B147))</f>
        <v/>
      </c>
      <c r="AU147" s="36">
        <f>IF($B147="","",(15*(R147&lt;&gt;"")+15*(COUNTIF(T147:AE147,"Да")&gt;0)+15*AND(J147&lt;&gt;"",OR(L147&lt;&gt;"",M147&lt;&gt;""))+15*(AS147&gt;0)+10*(AT147&gt;0)+10*(COUNTIF(AM147:AR147,"Да")&gt;0)+10*IF(A147="Внешний вендор",D147&lt;&gt;"",E147&lt;&gt;"")+5*(I147&lt;&gt;"")+5*IF(A147="Внешний вендор",G147&lt;&gt;"",TRUE))/100)</f>
        <v/>
      </c>
      <c r="AV147" s="21" t="n"/>
      <c r="AW147" s="21" t="n"/>
    </row>
    <row r="148">
      <c r="A148" s="25" t="n"/>
      <c r="B148" s="25" t="n"/>
      <c r="C148" s="25" t="n"/>
      <c r="D148" s="3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  <c r="AL148" s="25" t="n"/>
      <c r="AM148" s="25" t="n"/>
      <c r="AN148" s="25" t="n"/>
      <c r="AO148" s="25" t="n"/>
      <c r="AP148" s="25" t="n"/>
      <c r="AQ148" s="25" t="n"/>
      <c r="AR148" s="25" t="n"/>
      <c r="AS148" s="22">
        <f>IF($B148="","",COUNTIF('Портфолио'!$A$5:$A$205,$B148))</f>
        <v/>
      </c>
      <c r="AT148" s="22">
        <f>IF($B148="","",COUNTIF('Решения'!$A$5:$A$205,$B148))</f>
        <v/>
      </c>
      <c r="AU148" s="36">
        <f>IF($B148="","",(15*(R148&lt;&gt;"")+15*(COUNTIF(T148:AE148,"Да")&gt;0)+15*AND(J148&lt;&gt;"",OR(L148&lt;&gt;"",M148&lt;&gt;""))+15*(AS148&gt;0)+10*(AT148&gt;0)+10*(COUNTIF(AM148:AR148,"Да")&gt;0)+10*IF(A148="Внешний вендор",D148&lt;&gt;"",E148&lt;&gt;"")+5*(I148&lt;&gt;"")+5*IF(A148="Внешний вендор",G148&lt;&gt;"",TRUE))/100)</f>
        <v/>
      </c>
      <c r="AV148" s="21" t="n"/>
      <c r="AW148" s="21" t="n"/>
    </row>
    <row r="149">
      <c r="A149" s="25" t="n"/>
      <c r="B149" s="25" t="n"/>
      <c r="C149" s="25" t="n"/>
      <c r="D149" s="3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  <c r="AD149" s="25" t="n"/>
      <c r="AE149" s="25" t="n"/>
      <c r="AF149" s="25" t="n"/>
      <c r="AG149" s="25" t="n"/>
      <c r="AH149" s="25" t="n"/>
      <c r="AI149" s="25" t="n"/>
      <c r="AJ149" s="25" t="n"/>
      <c r="AK149" s="25" t="n"/>
      <c r="AL149" s="25" t="n"/>
      <c r="AM149" s="25" t="n"/>
      <c r="AN149" s="25" t="n"/>
      <c r="AO149" s="25" t="n"/>
      <c r="AP149" s="25" t="n"/>
      <c r="AQ149" s="25" t="n"/>
      <c r="AR149" s="25" t="n"/>
      <c r="AS149" s="22">
        <f>IF($B149="","",COUNTIF('Портфолио'!$A$5:$A$205,$B149))</f>
        <v/>
      </c>
      <c r="AT149" s="22">
        <f>IF($B149="","",COUNTIF('Решения'!$A$5:$A$205,$B149))</f>
        <v/>
      </c>
      <c r="AU149" s="36">
        <f>IF($B149="","",(15*(R149&lt;&gt;"")+15*(COUNTIF(T149:AE149,"Да")&gt;0)+15*AND(J149&lt;&gt;"",OR(L149&lt;&gt;"",M149&lt;&gt;""))+15*(AS149&gt;0)+10*(AT149&gt;0)+10*(COUNTIF(AM149:AR149,"Да")&gt;0)+10*IF(A149="Внешний вендор",D149&lt;&gt;"",E149&lt;&gt;"")+5*(I149&lt;&gt;"")+5*IF(A149="Внешний вендор",G149&lt;&gt;"",TRUE))/100)</f>
        <v/>
      </c>
      <c r="AV149" s="21" t="n"/>
      <c r="AW149" s="21" t="n"/>
    </row>
    <row r="150">
      <c r="A150" s="25" t="n"/>
      <c r="B150" s="25" t="n"/>
      <c r="C150" s="25" t="n"/>
      <c r="D150" s="3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  <c r="AD150" s="25" t="n"/>
      <c r="AE150" s="25" t="n"/>
      <c r="AF150" s="25" t="n"/>
      <c r="AG150" s="25" t="n"/>
      <c r="AH150" s="25" t="n"/>
      <c r="AI150" s="25" t="n"/>
      <c r="AJ150" s="25" t="n"/>
      <c r="AK150" s="25" t="n"/>
      <c r="AL150" s="25" t="n"/>
      <c r="AM150" s="25" t="n"/>
      <c r="AN150" s="25" t="n"/>
      <c r="AO150" s="25" t="n"/>
      <c r="AP150" s="25" t="n"/>
      <c r="AQ150" s="25" t="n"/>
      <c r="AR150" s="25" t="n"/>
      <c r="AS150" s="22">
        <f>IF($B150="","",COUNTIF('Портфолио'!$A$5:$A$205,$B150))</f>
        <v/>
      </c>
      <c r="AT150" s="22">
        <f>IF($B150="","",COUNTIF('Решения'!$A$5:$A$205,$B150))</f>
        <v/>
      </c>
      <c r="AU150" s="36">
        <f>IF($B150="","",(15*(R150&lt;&gt;"")+15*(COUNTIF(T150:AE150,"Да")&gt;0)+15*AND(J150&lt;&gt;"",OR(L150&lt;&gt;"",M150&lt;&gt;""))+15*(AS150&gt;0)+10*(AT150&gt;0)+10*(COUNTIF(AM150:AR150,"Да")&gt;0)+10*IF(A150="Внешний вендор",D150&lt;&gt;"",E150&lt;&gt;"")+5*(I150&lt;&gt;"")+5*IF(A150="Внешний вендор",G150&lt;&gt;"",TRUE))/100)</f>
        <v/>
      </c>
      <c r="AV150" s="21" t="n"/>
      <c r="AW150" s="21" t="n"/>
    </row>
    <row r="151">
      <c r="A151" s="25" t="n"/>
      <c r="B151" s="25" t="n"/>
      <c r="C151" s="25" t="n"/>
      <c r="D151" s="3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  <c r="AD151" s="25" t="n"/>
      <c r="AE151" s="25" t="n"/>
      <c r="AF151" s="25" t="n"/>
      <c r="AG151" s="25" t="n"/>
      <c r="AH151" s="25" t="n"/>
      <c r="AI151" s="25" t="n"/>
      <c r="AJ151" s="25" t="n"/>
      <c r="AK151" s="25" t="n"/>
      <c r="AL151" s="25" t="n"/>
      <c r="AM151" s="25" t="n"/>
      <c r="AN151" s="25" t="n"/>
      <c r="AO151" s="25" t="n"/>
      <c r="AP151" s="25" t="n"/>
      <c r="AQ151" s="25" t="n"/>
      <c r="AR151" s="25" t="n"/>
      <c r="AS151" s="22">
        <f>IF($B151="","",COUNTIF('Портфолио'!$A$5:$A$205,$B151))</f>
        <v/>
      </c>
      <c r="AT151" s="22">
        <f>IF($B151="","",COUNTIF('Решения'!$A$5:$A$205,$B151))</f>
        <v/>
      </c>
      <c r="AU151" s="36">
        <f>IF($B151="","",(15*(R151&lt;&gt;"")+15*(COUNTIF(T151:AE151,"Да")&gt;0)+15*AND(J151&lt;&gt;"",OR(L151&lt;&gt;"",M151&lt;&gt;""))+15*(AS151&gt;0)+10*(AT151&gt;0)+10*(COUNTIF(AM151:AR151,"Да")&gt;0)+10*IF(A151="Внешний вендор",D151&lt;&gt;"",E151&lt;&gt;"")+5*(I151&lt;&gt;"")+5*IF(A151="Внешний вендор",G151&lt;&gt;"",TRUE))/100)</f>
        <v/>
      </c>
      <c r="AV151" s="21" t="n"/>
      <c r="AW151" s="21" t="n"/>
    </row>
    <row r="152">
      <c r="A152" s="25" t="n"/>
      <c r="B152" s="25" t="n"/>
      <c r="C152" s="25" t="n"/>
      <c r="D152" s="3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25" t="n"/>
      <c r="AL152" s="25" t="n"/>
      <c r="AM152" s="25" t="n"/>
      <c r="AN152" s="25" t="n"/>
      <c r="AO152" s="25" t="n"/>
      <c r="AP152" s="25" t="n"/>
      <c r="AQ152" s="25" t="n"/>
      <c r="AR152" s="25" t="n"/>
      <c r="AS152" s="22">
        <f>IF($B152="","",COUNTIF('Портфолио'!$A$5:$A$205,$B152))</f>
        <v/>
      </c>
      <c r="AT152" s="22">
        <f>IF($B152="","",COUNTIF('Решения'!$A$5:$A$205,$B152))</f>
        <v/>
      </c>
      <c r="AU152" s="36">
        <f>IF($B152="","",(15*(R152&lt;&gt;"")+15*(COUNTIF(T152:AE152,"Да")&gt;0)+15*AND(J152&lt;&gt;"",OR(L152&lt;&gt;"",M152&lt;&gt;""))+15*(AS152&gt;0)+10*(AT152&gt;0)+10*(COUNTIF(AM152:AR152,"Да")&gt;0)+10*IF(A152="Внешний вендор",D152&lt;&gt;"",E152&lt;&gt;"")+5*(I152&lt;&gt;"")+5*IF(A152="Внешний вендор",G152&lt;&gt;"",TRUE))/100)</f>
        <v/>
      </c>
      <c r="AV152" s="21" t="n"/>
      <c r="AW152" s="21" t="n"/>
    </row>
    <row r="153">
      <c r="A153" s="25" t="n"/>
      <c r="B153" s="25" t="n"/>
      <c r="C153" s="25" t="n"/>
      <c r="D153" s="3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  <c r="AD153" s="25" t="n"/>
      <c r="AE153" s="25" t="n"/>
      <c r="AF153" s="25" t="n"/>
      <c r="AG153" s="25" t="n"/>
      <c r="AH153" s="25" t="n"/>
      <c r="AI153" s="25" t="n"/>
      <c r="AJ153" s="25" t="n"/>
      <c r="AK153" s="25" t="n"/>
      <c r="AL153" s="25" t="n"/>
      <c r="AM153" s="25" t="n"/>
      <c r="AN153" s="25" t="n"/>
      <c r="AO153" s="25" t="n"/>
      <c r="AP153" s="25" t="n"/>
      <c r="AQ153" s="25" t="n"/>
      <c r="AR153" s="25" t="n"/>
      <c r="AS153" s="22">
        <f>IF($B153="","",COUNTIF('Портфолио'!$A$5:$A$205,$B153))</f>
        <v/>
      </c>
      <c r="AT153" s="22">
        <f>IF($B153="","",COUNTIF('Решения'!$A$5:$A$205,$B153))</f>
        <v/>
      </c>
      <c r="AU153" s="36">
        <f>IF($B153="","",(15*(R153&lt;&gt;"")+15*(COUNTIF(T153:AE153,"Да")&gt;0)+15*AND(J153&lt;&gt;"",OR(L153&lt;&gt;"",M153&lt;&gt;""))+15*(AS153&gt;0)+10*(AT153&gt;0)+10*(COUNTIF(AM153:AR153,"Да")&gt;0)+10*IF(A153="Внешний вендор",D153&lt;&gt;"",E153&lt;&gt;"")+5*(I153&lt;&gt;"")+5*IF(A153="Внешний вендор",G153&lt;&gt;"",TRUE))/100)</f>
        <v/>
      </c>
      <c r="AV153" s="21" t="n"/>
      <c r="AW153" s="21" t="n"/>
    </row>
    <row r="154">
      <c r="A154" s="25" t="n"/>
      <c r="B154" s="25" t="n"/>
      <c r="C154" s="25" t="n"/>
      <c r="D154" s="3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  <c r="AD154" s="25" t="n"/>
      <c r="AE154" s="25" t="n"/>
      <c r="AF154" s="25" t="n"/>
      <c r="AG154" s="25" t="n"/>
      <c r="AH154" s="25" t="n"/>
      <c r="AI154" s="25" t="n"/>
      <c r="AJ154" s="25" t="n"/>
      <c r="AK154" s="25" t="n"/>
      <c r="AL154" s="25" t="n"/>
      <c r="AM154" s="25" t="n"/>
      <c r="AN154" s="25" t="n"/>
      <c r="AO154" s="25" t="n"/>
      <c r="AP154" s="25" t="n"/>
      <c r="AQ154" s="25" t="n"/>
      <c r="AR154" s="25" t="n"/>
      <c r="AS154" s="22">
        <f>IF($B154="","",COUNTIF('Портфолио'!$A$5:$A$205,$B154))</f>
        <v/>
      </c>
      <c r="AT154" s="22">
        <f>IF($B154="","",COUNTIF('Решения'!$A$5:$A$205,$B154))</f>
        <v/>
      </c>
      <c r="AU154" s="36">
        <f>IF($B154="","",(15*(R154&lt;&gt;"")+15*(COUNTIF(T154:AE154,"Да")&gt;0)+15*AND(J154&lt;&gt;"",OR(L154&lt;&gt;"",M154&lt;&gt;""))+15*(AS154&gt;0)+10*(AT154&gt;0)+10*(COUNTIF(AM154:AR154,"Да")&gt;0)+10*IF(A154="Внешний вендор",D154&lt;&gt;"",E154&lt;&gt;"")+5*(I154&lt;&gt;"")+5*IF(A154="Внешний вендор",G154&lt;&gt;"",TRUE))/100)</f>
        <v/>
      </c>
      <c r="AV154" s="21" t="n"/>
      <c r="AW154" s="21" t="n"/>
    </row>
    <row r="155">
      <c r="A155" s="25" t="n"/>
      <c r="B155" s="25" t="n"/>
      <c r="C155" s="25" t="n"/>
      <c r="D155" s="3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  <c r="AD155" s="25" t="n"/>
      <c r="AE155" s="25" t="n"/>
      <c r="AF155" s="25" t="n"/>
      <c r="AG155" s="25" t="n"/>
      <c r="AH155" s="25" t="n"/>
      <c r="AI155" s="25" t="n"/>
      <c r="AJ155" s="25" t="n"/>
      <c r="AK155" s="25" t="n"/>
      <c r="AL155" s="25" t="n"/>
      <c r="AM155" s="25" t="n"/>
      <c r="AN155" s="25" t="n"/>
      <c r="AO155" s="25" t="n"/>
      <c r="AP155" s="25" t="n"/>
      <c r="AQ155" s="25" t="n"/>
      <c r="AR155" s="25" t="n"/>
      <c r="AS155" s="22">
        <f>IF($B155="","",COUNTIF('Портфолио'!$A$5:$A$205,$B155))</f>
        <v/>
      </c>
      <c r="AT155" s="22">
        <f>IF($B155="","",COUNTIF('Решения'!$A$5:$A$205,$B155))</f>
        <v/>
      </c>
      <c r="AU155" s="36">
        <f>IF($B155="","",(15*(R155&lt;&gt;"")+15*(COUNTIF(T155:AE155,"Да")&gt;0)+15*AND(J155&lt;&gt;"",OR(L155&lt;&gt;"",M155&lt;&gt;""))+15*(AS155&gt;0)+10*(AT155&gt;0)+10*(COUNTIF(AM155:AR155,"Да")&gt;0)+10*IF(A155="Внешний вендор",D155&lt;&gt;"",E155&lt;&gt;"")+5*(I155&lt;&gt;"")+5*IF(A155="Внешний вендор",G155&lt;&gt;"",TRUE))/100)</f>
        <v/>
      </c>
      <c r="AV155" s="21" t="n"/>
      <c r="AW155" s="21" t="n"/>
    </row>
    <row r="156">
      <c r="A156" s="25" t="n"/>
      <c r="B156" s="25" t="n"/>
      <c r="C156" s="25" t="n"/>
      <c r="D156" s="3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25" t="n"/>
      <c r="AL156" s="25" t="n"/>
      <c r="AM156" s="25" t="n"/>
      <c r="AN156" s="25" t="n"/>
      <c r="AO156" s="25" t="n"/>
      <c r="AP156" s="25" t="n"/>
      <c r="AQ156" s="25" t="n"/>
      <c r="AR156" s="25" t="n"/>
      <c r="AS156" s="22">
        <f>IF($B156="","",COUNTIF('Портфолио'!$A$5:$A$205,$B156))</f>
        <v/>
      </c>
      <c r="AT156" s="22">
        <f>IF($B156="","",COUNTIF('Решения'!$A$5:$A$205,$B156))</f>
        <v/>
      </c>
      <c r="AU156" s="36">
        <f>IF($B156="","",(15*(R156&lt;&gt;"")+15*(COUNTIF(T156:AE156,"Да")&gt;0)+15*AND(J156&lt;&gt;"",OR(L156&lt;&gt;"",M156&lt;&gt;""))+15*(AS156&gt;0)+10*(AT156&gt;0)+10*(COUNTIF(AM156:AR156,"Да")&gt;0)+10*IF(A156="Внешний вендор",D156&lt;&gt;"",E156&lt;&gt;"")+5*(I156&lt;&gt;"")+5*IF(A156="Внешний вендор",G156&lt;&gt;"",TRUE))/100)</f>
        <v/>
      </c>
      <c r="AV156" s="21" t="n"/>
      <c r="AW156" s="21" t="n"/>
    </row>
    <row r="157">
      <c r="A157" s="25" t="n"/>
      <c r="B157" s="25" t="n"/>
      <c r="C157" s="25" t="n"/>
      <c r="D157" s="3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  <c r="AD157" s="25" t="n"/>
      <c r="AE157" s="25" t="n"/>
      <c r="AF157" s="25" t="n"/>
      <c r="AG157" s="25" t="n"/>
      <c r="AH157" s="25" t="n"/>
      <c r="AI157" s="25" t="n"/>
      <c r="AJ157" s="25" t="n"/>
      <c r="AK157" s="25" t="n"/>
      <c r="AL157" s="25" t="n"/>
      <c r="AM157" s="25" t="n"/>
      <c r="AN157" s="25" t="n"/>
      <c r="AO157" s="25" t="n"/>
      <c r="AP157" s="25" t="n"/>
      <c r="AQ157" s="25" t="n"/>
      <c r="AR157" s="25" t="n"/>
      <c r="AS157" s="22">
        <f>IF($B157="","",COUNTIF('Портфолио'!$A$5:$A$205,$B157))</f>
        <v/>
      </c>
      <c r="AT157" s="22">
        <f>IF($B157="","",COUNTIF('Решения'!$A$5:$A$205,$B157))</f>
        <v/>
      </c>
      <c r="AU157" s="36">
        <f>IF($B157="","",(15*(R157&lt;&gt;"")+15*(COUNTIF(T157:AE157,"Да")&gt;0)+15*AND(J157&lt;&gt;"",OR(L157&lt;&gt;"",M157&lt;&gt;""))+15*(AS157&gt;0)+10*(AT157&gt;0)+10*(COUNTIF(AM157:AR157,"Да")&gt;0)+10*IF(A157="Внешний вендор",D157&lt;&gt;"",E157&lt;&gt;"")+5*(I157&lt;&gt;"")+5*IF(A157="Внешний вендор",G157&lt;&gt;"",TRUE))/100)</f>
        <v/>
      </c>
      <c r="AV157" s="21" t="n"/>
      <c r="AW157" s="21" t="n"/>
    </row>
    <row r="158">
      <c r="A158" s="25" t="n"/>
      <c r="B158" s="25" t="n"/>
      <c r="C158" s="25" t="n"/>
      <c r="D158" s="3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  <c r="AD158" s="25" t="n"/>
      <c r="AE158" s="25" t="n"/>
      <c r="AF158" s="25" t="n"/>
      <c r="AG158" s="25" t="n"/>
      <c r="AH158" s="25" t="n"/>
      <c r="AI158" s="25" t="n"/>
      <c r="AJ158" s="25" t="n"/>
      <c r="AK158" s="25" t="n"/>
      <c r="AL158" s="25" t="n"/>
      <c r="AM158" s="25" t="n"/>
      <c r="AN158" s="25" t="n"/>
      <c r="AO158" s="25" t="n"/>
      <c r="AP158" s="25" t="n"/>
      <c r="AQ158" s="25" t="n"/>
      <c r="AR158" s="25" t="n"/>
      <c r="AS158" s="22">
        <f>IF($B158="","",COUNTIF('Портфолио'!$A$5:$A$205,$B158))</f>
        <v/>
      </c>
      <c r="AT158" s="22">
        <f>IF($B158="","",COUNTIF('Решения'!$A$5:$A$205,$B158))</f>
        <v/>
      </c>
      <c r="AU158" s="36">
        <f>IF($B158="","",(15*(R158&lt;&gt;"")+15*(COUNTIF(T158:AE158,"Да")&gt;0)+15*AND(J158&lt;&gt;"",OR(L158&lt;&gt;"",M158&lt;&gt;""))+15*(AS158&gt;0)+10*(AT158&gt;0)+10*(COUNTIF(AM158:AR158,"Да")&gt;0)+10*IF(A158="Внешний вендор",D158&lt;&gt;"",E158&lt;&gt;"")+5*(I158&lt;&gt;"")+5*IF(A158="Внешний вендор",G158&lt;&gt;"",TRUE))/100)</f>
        <v/>
      </c>
      <c r="AV158" s="21" t="n"/>
      <c r="AW158" s="21" t="n"/>
    </row>
    <row r="159">
      <c r="A159" s="25" t="n"/>
      <c r="B159" s="25" t="n"/>
      <c r="C159" s="25" t="n"/>
      <c r="D159" s="3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  <c r="AD159" s="25" t="n"/>
      <c r="AE159" s="25" t="n"/>
      <c r="AF159" s="25" t="n"/>
      <c r="AG159" s="25" t="n"/>
      <c r="AH159" s="25" t="n"/>
      <c r="AI159" s="25" t="n"/>
      <c r="AJ159" s="25" t="n"/>
      <c r="AK159" s="25" t="n"/>
      <c r="AL159" s="25" t="n"/>
      <c r="AM159" s="25" t="n"/>
      <c r="AN159" s="25" t="n"/>
      <c r="AO159" s="25" t="n"/>
      <c r="AP159" s="25" t="n"/>
      <c r="AQ159" s="25" t="n"/>
      <c r="AR159" s="25" t="n"/>
      <c r="AS159" s="22">
        <f>IF($B159="","",COUNTIF('Портфолио'!$A$5:$A$205,$B159))</f>
        <v/>
      </c>
      <c r="AT159" s="22">
        <f>IF($B159="","",COUNTIF('Решения'!$A$5:$A$205,$B159))</f>
        <v/>
      </c>
      <c r="AU159" s="36">
        <f>IF($B159="","",(15*(R159&lt;&gt;"")+15*(COUNTIF(T159:AE159,"Да")&gt;0)+15*AND(J159&lt;&gt;"",OR(L159&lt;&gt;"",M159&lt;&gt;""))+15*(AS159&gt;0)+10*(AT159&gt;0)+10*(COUNTIF(AM159:AR159,"Да")&gt;0)+10*IF(A159="Внешний вендор",D159&lt;&gt;"",E159&lt;&gt;"")+5*(I159&lt;&gt;"")+5*IF(A159="Внешний вендор",G159&lt;&gt;"",TRUE))/100)</f>
        <v/>
      </c>
      <c r="AV159" s="21" t="n"/>
      <c r="AW159" s="21" t="n"/>
    </row>
    <row r="160">
      <c r="A160" s="25" t="n"/>
      <c r="B160" s="25" t="n"/>
      <c r="C160" s="25" t="n"/>
      <c r="D160" s="3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25" t="n"/>
      <c r="AL160" s="25" t="n"/>
      <c r="AM160" s="25" t="n"/>
      <c r="AN160" s="25" t="n"/>
      <c r="AO160" s="25" t="n"/>
      <c r="AP160" s="25" t="n"/>
      <c r="AQ160" s="25" t="n"/>
      <c r="AR160" s="25" t="n"/>
      <c r="AS160" s="22">
        <f>IF($B160="","",COUNTIF('Портфолио'!$A$5:$A$205,$B160))</f>
        <v/>
      </c>
      <c r="AT160" s="22">
        <f>IF($B160="","",COUNTIF('Решения'!$A$5:$A$205,$B160))</f>
        <v/>
      </c>
      <c r="AU160" s="36">
        <f>IF($B160="","",(15*(R160&lt;&gt;"")+15*(COUNTIF(T160:AE160,"Да")&gt;0)+15*AND(J160&lt;&gt;"",OR(L160&lt;&gt;"",M160&lt;&gt;""))+15*(AS160&gt;0)+10*(AT160&gt;0)+10*(COUNTIF(AM160:AR160,"Да")&gt;0)+10*IF(A160="Внешний вендор",D160&lt;&gt;"",E160&lt;&gt;"")+5*(I160&lt;&gt;"")+5*IF(A160="Внешний вендор",G160&lt;&gt;"",TRUE))/100)</f>
        <v/>
      </c>
      <c r="AV160" s="21" t="n"/>
      <c r="AW160" s="21" t="n"/>
    </row>
    <row r="161">
      <c r="A161" s="25" t="n"/>
      <c r="B161" s="25" t="n"/>
      <c r="C161" s="25" t="n"/>
      <c r="D161" s="3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  <c r="AD161" s="25" t="n"/>
      <c r="AE161" s="25" t="n"/>
      <c r="AF161" s="25" t="n"/>
      <c r="AG161" s="25" t="n"/>
      <c r="AH161" s="25" t="n"/>
      <c r="AI161" s="25" t="n"/>
      <c r="AJ161" s="25" t="n"/>
      <c r="AK161" s="25" t="n"/>
      <c r="AL161" s="25" t="n"/>
      <c r="AM161" s="25" t="n"/>
      <c r="AN161" s="25" t="n"/>
      <c r="AO161" s="25" t="n"/>
      <c r="AP161" s="25" t="n"/>
      <c r="AQ161" s="25" t="n"/>
      <c r="AR161" s="25" t="n"/>
      <c r="AS161" s="22">
        <f>IF($B161="","",COUNTIF('Портфолио'!$A$5:$A$205,$B161))</f>
        <v/>
      </c>
      <c r="AT161" s="22">
        <f>IF($B161="","",COUNTIF('Решения'!$A$5:$A$205,$B161))</f>
        <v/>
      </c>
      <c r="AU161" s="36">
        <f>IF($B161="","",(15*(R161&lt;&gt;"")+15*(COUNTIF(T161:AE161,"Да")&gt;0)+15*AND(J161&lt;&gt;"",OR(L161&lt;&gt;"",M161&lt;&gt;""))+15*(AS161&gt;0)+10*(AT161&gt;0)+10*(COUNTIF(AM161:AR161,"Да")&gt;0)+10*IF(A161="Внешний вендор",D161&lt;&gt;"",E161&lt;&gt;"")+5*(I161&lt;&gt;"")+5*IF(A161="Внешний вендор",G161&lt;&gt;"",TRUE))/100)</f>
        <v/>
      </c>
      <c r="AV161" s="21" t="n"/>
      <c r="AW161" s="21" t="n"/>
    </row>
    <row r="162">
      <c r="A162" s="25" t="n"/>
      <c r="B162" s="25" t="n"/>
      <c r="C162" s="25" t="n"/>
      <c r="D162" s="3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  <c r="AD162" s="25" t="n"/>
      <c r="AE162" s="25" t="n"/>
      <c r="AF162" s="25" t="n"/>
      <c r="AG162" s="25" t="n"/>
      <c r="AH162" s="25" t="n"/>
      <c r="AI162" s="25" t="n"/>
      <c r="AJ162" s="25" t="n"/>
      <c r="AK162" s="25" t="n"/>
      <c r="AL162" s="25" t="n"/>
      <c r="AM162" s="25" t="n"/>
      <c r="AN162" s="25" t="n"/>
      <c r="AO162" s="25" t="n"/>
      <c r="AP162" s="25" t="n"/>
      <c r="AQ162" s="25" t="n"/>
      <c r="AR162" s="25" t="n"/>
      <c r="AS162" s="22">
        <f>IF($B162="","",COUNTIF('Портфолио'!$A$5:$A$205,$B162))</f>
        <v/>
      </c>
      <c r="AT162" s="22">
        <f>IF($B162="","",COUNTIF('Решения'!$A$5:$A$205,$B162))</f>
        <v/>
      </c>
      <c r="AU162" s="36">
        <f>IF($B162="","",(15*(R162&lt;&gt;"")+15*(COUNTIF(T162:AE162,"Да")&gt;0)+15*AND(J162&lt;&gt;"",OR(L162&lt;&gt;"",M162&lt;&gt;""))+15*(AS162&gt;0)+10*(AT162&gt;0)+10*(COUNTIF(AM162:AR162,"Да")&gt;0)+10*IF(A162="Внешний вендор",D162&lt;&gt;"",E162&lt;&gt;"")+5*(I162&lt;&gt;"")+5*IF(A162="Внешний вендор",G162&lt;&gt;"",TRUE))/100)</f>
        <v/>
      </c>
      <c r="AV162" s="21" t="n"/>
      <c r="AW162" s="21" t="n"/>
    </row>
    <row r="163">
      <c r="A163" s="25" t="n"/>
      <c r="B163" s="25" t="n"/>
      <c r="C163" s="25" t="n"/>
      <c r="D163" s="3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  <c r="AD163" s="25" t="n"/>
      <c r="AE163" s="25" t="n"/>
      <c r="AF163" s="25" t="n"/>
      <c r="AG163" s="25" t="n"/>
      <c r="AH163" s="25" t="n"/>
      <c r="AI163" s="25" t="n"/>
      <c r="AJ163" s="25" t="n"/>
      <c r="AK163" s="25" t="n"/>
      <c r="AL163" s="25" t="n"/>
      <c r="AM163" s="25" t="n"/>
      <c r="AN163" s="25" t="n"/>
      <c r="AO163" s="25" t="n"/>
      <c r="AP163" s="25" t="n"/>
      <c r="AQ163" s="25" t="n"/>
      <c r="AR163" s="25" t="n"/>
      <c r="AS163" s="22">
        <f>IF($B163="","",COUNTIF('Портфолио'!$A$5:$A$205,$B163))</f>
        <v/>
      </c>
      <c r="AT163" s="22">
        <f>IF($B163="","",COUNTIF('Решения'!$A$5:$A$205,$B163))</f>
        <v/>
      </c>
      <c r="AU163" s="36">
        <f>IF($B163="","",(15*(R163&lt;&gt;"")+15*(COUNTIF(T163:AE163,"Да")&gt;0)+15*AND(J163&lt;&gt;"",OR(L163&lt;&gt;"",M163&lt;&gt;""))+15*(AS163&gt;0)+10*(AT163&gt;0)+10*(COUNTIF(AM163:AR163,"Да")&gt;0)+10*IF(A163="Внешний вендор",D163&lt;&gt;"",E163&lt;&gt;"")+5*(I163&lt;&gt;"")+5*IF(A163="Внешний вендор",G163&lt;&gt;"",TRUE))/100)</f>
        <v/>
      </c>
      <c r="AV163" s="21" t="n"/>
      <c r="AW163" s="21" t="n"/>
    </row>
    <row r="164">
      <c r="A164" s="25" t="n"/>
      <c r="B164" s="25" t="n"/>
      <c r="C164" s="25" t="n"/>
      <c r="D164" s="3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25" t="n"/>
      <c r="AL164" s="25" t="n"/>
      <c r="AM164" s="25" t="n"/>
      <c r="AN164" s="25" t="n"/>
      <c r="AO164" s="25" t="n"/>
      <c r="AP164" s="25" t="n"/>
      <c r="AQ164" s="25" t="n"/>
      <c r="AR164" s="25" t="n"/>
      <c r="AS164" s="22">
        <f>IF($B164="","",COUNTIF('Портфолио'!$A$5:$A$205,$B164))</f>
        <v/>
      </c>
      <c r="AT164" s="22">
        <f>IF($B164="","",COUNTIF('Решения'!$A$5:$A$205,$B164))</f>
        <v/>
      </c>
      <c r="AU164" s="36">
        <f>IF($B164="","",(15*(R164&lt;&gt;"")+15*(COUNTIF(T164:AE164,"Да")&gt;0)+15*AND(J164&lt;&gt;"",OR(L164&lt;&gt;"",M164&lt;&gt;""))+15*(AS164&gt;0)+10*(AT164&gt;0)+10*(COUNTIF(AM164:AR164,"Да")&gt;0)+10*IF(A164="Внешний вендор",D164&lt;&gt;"",E164&lt;&gt;"")+5*(I164&lt;&gt;"")+5*IF(A164="Внешний вендор",G164&lt;&gt;"",TRUE))/100)</f>
        <v/>
      </c>
      <c r="AV164" s="21" t="n"/>
      <c r="AW164" s="21" t="n"/>
    </row>
    <row r="165">
      <c r="A165" s="25" t="n"/>
      <c r="B165" s="25" t="n"/>
      <c r="C165" s="25" t="n"/>
      <c r="D165" s="3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  <c r="AD165" s="25" t="n"/>
      <c r="AE165" s="25" t="n"/>
      <c r="AF165" s="25" t="n"/>
      <c r="AG165" s="25" t="n"/>
      <c r="AH165" s="25" t="n"/>
      <c r="AI165" s="25" t="n"/>
      <c r="AJ165" s="25" t="n"/>
      <c r="AK165" s="25" t="n"/>
      <c r="AL165" s="25" t="n"/>
      <c r="AM165" s="25" t="n"/>
      <c r="AN165" s="25" t="n"/>
      <c r="AO165" s="25" t="n"/>
      <c r="AP165" s="25" t="n"/>
      <c r="AQ165" s="25" t="n"/>
      <c r="AR165" s="25" t="n"/>
      <c r="AS165" s="22">
        <f>IF($B165="","",COUNTIF('Портфолио'!$A$5:$A$205,$B165))</f>
        <v/>
      </c>
      <c r="AT165" s="22">
        <f>IF($B165="","",COUNTIF('Решения'!$A$5:$A$205,$B165))</f>
        <v/>
      </c>
      <c r="AU165" s="36">
        <f>IF($B165="","",(15*(R165&lt;&gt;"")+15*(COUNTIF(T165:AE165,"Да")&gt;0)+15*AND(J165&lt;&gt;"",OR(L165&lt;&gt;"",M165&lt;&gt;""))+15*(AS165&gt;0)+10*(AT165&gt;0)+10*(COUNTIF(AM165:AR165,"Да")&gt;0)+10*IF(A165="Внешний вендор",D165&lt;&gt;"",E165&lt;&gt;"")+5*(I165&lt;&gt;"")+5*IF(A165="Внешний вендор",G165&lt;&gt;"",TRUE))/100)</f>
        <v/>
      </c>
      <c r="AV165" s="21" t="n"/>
      <c r="AW165" s="21" t="n"/>
    </row>
    <row r="166">
      <c r="A166" s="25" t="n"/>
      <c r="B166" s="25" t="n"/>
      <c r="C166" s="25" t="n"/>
      <c r="D166" s="3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  <c r="AD166" s="25" t="n"/>
      <c r="AE166" s="25" t="n"/>
      <c r="AF166" s="25" t="n"/>
      <c r="AG166" s="25" t="n"/>
      <c r="AH166" s="25" t="n"/>
      <c r="AI166" s="25" t="n"/>
      <c r="AJ166" s="25" t="n"/>
      <c r="AK166" s="25" t="n"/>
      <c r="AL166" s="25" t="n"/>
      <c r="AM166" s="25" t="n"/>
      <c r="AN166" s="25" t="n"/>
      <c r="AO166" s="25" t="n"/>
      <c r="AP166" s="25" t="n"/>
      <c r="AQ166" s="25" t="n"/>
      <c r="AR166" s="25" t="n"/>
      <c r="AS166" s="22">
        <f>IF($B166="","",COUNTIF('Портфолио'!$A$5:$A$205,$B166))</f>
        <v/>
      </c>
      <c r="AT166" s="22">
        <f>IF($B166="","",COUNTIF('Решения'!$A$5:$A$205,$B166))</f>
        <v/>
      </c>
      <c r="AU166" s="36">
        <f>IF($B166="","",(15*(R166&lt;&gt;"")+15*(COUNTIF(T166:AE166,"Да")&gt;0)+15*AND(J166&lt;&gt;"",OR(L166&lt;&gt;"",M166&lt;&gt;""))+15*(AS166&gt;0)+10*(AT166&gt;0)+10*(COUNTIF(AM166:AR166,"Да")&gt;0)+10*IF(A166="Внешний вендор",D166&lt;&gt;"",E166&lt;&gt;"")+5*(I166&lt;&gt;"")+5*IF(A166="Внешний вендор",G166&lt;&gt;"",TRUE))/100)</f>
        <v/>
      </c>
      <c r="AV166" s="21" t="n"/>
      <c r="AW166" s="21" t="n"/>
    </row>
    <row r="167">
      <c r="A167" s="25" t="n"/>
      <c r="B167" s="25" t="n"/>
      <c r="C167" s="25" t="n"/>
      <c r="D167" s="3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  <c r="AD167" s="25" t="n"/>
      <c r="AE167" s="25" t="n"/>
      <c r="AF167" s="25" t="n"/>
      <c r="AG167" s="25" t="n"/>
      <c r="AH167" s="25" t="n"/>
      <c r="AI167" s="25" t="n"/>
      <c r="AJ167" s="25" t="n"/>
      <c r="AK167" s="25" t="n"/>
      <c r="AL167" s="25" t="n"/>
      <c r="AM167" s="25" t="n"/>
      <c r="AN167" s="25" t="n"/>
      <c r="AO167" s="25" t="n"/>
      <c r="AP167" s="25" t="n"/>
      <c r="AQ167" s="25" t="n"/>
      <c r="AR167" s="25" t="n"/>
      <c r="AS167" s="22">
        <f>IF($B167="","",COUNTIF('Портфолио'!$A$5:$A$205,$B167))</f>
        <v/>
      </c>
      <c r="AT167" s="22">
        <f>IF($B167="","",COUNTIF('Решения'!$A$5:$A$205,$B167))</f>
        <v/>
      </c>
      <c r="AU167" s="36">
        <f>IF($B167="","",(15*(R167&lt;&gt;"")+15*(COUNTIF(T167:AE167,"Да")&gt;0)+15*AND(J167&lt;&gt;"",OR(L167&lt;&gt;"",M167&lt;&gt;""))+15*(AS167&gt;0)+10*(AT167&gt;0)+10*(COUNTIF(AM167:AR167,"Да")&gt;0)+10*IF(A167="Внешний вендор",D167&lt;&gt;"",E167&lt;&gt;"")+5*(I167&lt;&gt;"")+5*IF(A167="Внешний вендор",G167&lt;&gt;"",TRUE))/100)</f>
        <v/>
      </c>
      <c r="AV167" s="21" t="n"/>
      <c r="AW167" s="21" t="n"/>
    </row>
    <row r="168">
      <c r="A168" s="25" t="n"/>
      <c r="B168" s="25" t="n"/>
      <c r="C168" s="25" t="n"/>
      <c r="D168" s="3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25" t="n"/>
      <c r="AL168" s="25" t="n"/>
      <c r="AM168" s="25" t="n"/>
      <c r="AN168" s="25" t="n"/>
      <c r="AO168" s="25" t="n"/>
      <c r="AP168" s="25" t="n"/>
      <c r="AQ168" s="25" t="n"/>
      <c r="AR168" s="25" t="n"/>
      <c r="AS168" s="22">
        <f>IF($B168="","",COUNTIF('Портфолио'!$A$5:$A$205,$B168))</f>
        <v/>
      </c>
      <c r="AT168" s="22">
        <f>IF($B168="","",COUNTIF('Решения'!$A$5:$A$205,$B168))</f>
        <v/>
      </c>
      <c r="AU168" s="36">
        <f>IF($B168="","",(15*(R168&lt;&gt;"")+15*(COUNTIF(T168:AE168,"Да")&gt;0)+15*AND(J168&lt;&gt;"",OR(L168&lt;&gt;"",M168&lt;&gt;""))+15*(AS168&gt;0)+10*(AT168&gt;0)+10*(COUNTIF(AM168:AR168,"Да")&gt;0)+10*IF(A168="Внешний вендор",D168&lt;&gt;"",E168&lt;&gt;"")+5*(I168&lt;&gt;"")+5*IF(A168="Внешний вендор",G168&lt;&gt;"",TRUE))/100)</f>
        <v/>
      </c>
      <c r="AV168" s="21" t="n"/>
      <c r="AW168" s="21" t="n"/>
    </row>
    <row r="169">
      <c r="A169" s="25" t="n"/>
      <c r="B169" s="25" t="n"/>
      <c r="C169" s="25" t="n"/>
      <c r="D169" s="3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5" t="n"/>
      <c r="AI169" s="25" t="n"/>
      <c r="AJ169" s="25" t="n"/>
      <c r="AK169" s="25" t="n"/>
      <c r="AL169" s="25" t="n"/>
      <c r="AM169" s="25" t="n"/>
      <c r="AN169" s="25" t="n"/>
      <c r="AO169" s="25" t="n"/>
      <c r="AP169" s="25" t="n"/>
      <c r="AQ169" s="25" t="n"/>
      <c r="AR169" s="25" t="n"/>
      <c r="AS169" s="22">
        <f>IF($B169="","",COUNTIF('Портфолио'!$A$5:$A$205,$B169))</f>
        <v/>
      </c>
      <c r="AT169" s="22">
        <f>IF($B169="","",COUNTIF('Решения'!$A$5:$A$205,$B169))</f>
        <v/>
      </c>
      <c r="AU169" s="36">
        <f>IF($B169="","",(15*(R169&lt;&gt;"")+15*(COUNTIF(T169:AE169,"Да")&gt;0)+15*AND(J169&lt;&gt;"",OR(L169&lt;&gt;"",M169&lt;&gt;""))+15*(AS169&gt;0)+10*(AT169&gt;0)+10*(COUNTIF(AM169:AR169,"Да")&gt;0)+10*IF(A169="Внешний вендор",D169&lt;&gt;"",E169&lt;&gt;"")+5*(I169&lt;&gt;"")+5*IF(A169="Внешний вендор",G169&lt;&gt;"",TRUE))/100)</f>
        <v/>
      </c>
      <c r="AV169" s="21" t="n"/>
      <c r="AW169" s="21" t="n"/>
    </row>
    <row r="170">
      <c r="A170" s="25" t="n"/>
      <c r="B170" s="25" t="n"/>
      <c r="C170" s="25" t="n"/>
      <c r="D170" s="3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25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5" t="n"/>
      <c r="AQ170" s="25" t="n"/>
      <c r="AR170" s="25" t="n"/>
      <c r="AS170" s="22">
        <f>IF($B170="","",COUNTIF('Портфолио'!$A$5:$A$205,$B170))</f>
        <v/>
      </c>
      <c r="AT170" s="22">
        <f>IF($B170="","",COUNTIF('Решения'!$A$5:$A$205,$B170))</f>
        <v/>
      </c>
      <c r="AU170" s="36">
        <f>IF($B170="","",(15*(R170&lt;&gt;"")+15*(COUNTIF(T170:AE170,"Да")&gt;0)+15*AND(J170&lt;&gt;"",OR(L170&lt;&gt;"",M170&lt;&gt;""))+15*(AS170&gt;0)+10*(AT170&gt;0)+10*(COUNTIF(AM170:AR170,"Да")&gt;0)+10*IF(A170="Внешний вендор",D170&lt;&gt;"",E170&lt;&gt;"")+5*(I170&lt;&gt;"")+5*IF(A170="Внешний вендор",G170&lt;&gt;"",TRUE))/100)</f>
        <v/>
      </c>
      <c r="AV170" s="21" t="n"/>
      <c r="AW170" s="21" t="n"/>
    </row>
    <row r="171">
      <c r="A171" s="25" t="n"/>
      <c r="B171" s="25" t="n"/>
      <c r="C171" s="25" t="n"/>
      <c r="D171" s="3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  <c r="AD171" s="25" t="n"/>
      <c r="AE171" s="25" t="n"/>
      <c r="AF171" s="25" t="n"/>
      <c r="AG171" s="25" t="n"/>
      <c r="AH171" s="25" t="n"/>
      <c r="AI171" s="25" t="n"/>
      <c r="AJ171" s="25" t="n"/>
      <c r="AK171" s="25" t="n"/>
      <c r="AL171" s="25" t="n"/>
      <c r="AM171" s="25" t="n"/>
      <c r="AN171" s="25" t="n"/>
      <c r="AO171" s="25" t="n"/>
      <c r="AP171" s="25" t="n"/>
      <c r="AQ171" s="25" t="n"/>
      <c r="AR171" s="25" t="n"/>
      <c r="AS171" s="22">
        <f>IF($B171="","",COUNTIF('Портфолио'!$A$5:$A$205,$B171))</f>
        <v/>
      </c>
      <c r="AT171" s="22">
        <f>IF($B171="","",COUNTIF('Решения'!$A$5:$A$205,$B171))</f>
        <v/>
      </c>
      <c r="AU171" s="36">
        <f>IF($B171="","",(15*(R171&lt;&gt;"")+15*(COUNTIF(T171:AE171,"Да")&gt;0)+15*AND(J171&lt;&gt;"",OR(L171&lt;&gt;"",M171&lt;&gt;""))+15*(AS171&gt;0)+10*(AT171&gt;0)+10*(COUNTIF(AM171:AR171,"Да")&gt;0)+10*IF(A171="Внешний вендор",D171&lt;&gt;"",E171&lt;&gt;"")+5*(I171&lt;&gt;"")+5*IF(A171="Внешний вендор",G171&lt;&gt;"",TRUE))/100)</f>
        <v/>
      </c>
      <c r="AV171" s="21" t="n"/>
      <c r="AW171" s="21" t="n"/>
    </row>
    <row r="172">
      <c r="A172" s="25" t="n"/>
      <c r="B172" s="25" t="n"/>
      <c r="C172" s="25" t="n"/>
      <c r="D172" s="3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25" t="n"/>
      <c r="AL172" s="25" t="n"/>
      <c r="AM172" s="25" t="n"/>
      <c r="AN172" s="25" t="n"/>
      <c r="AO172" s="25" t="n"/>
      <c r="AP172" s="25" t="n"/>
      <c r="AQ172" s="25" t="n"/>
      <c r="AR172" s="25" t="n"/>
      <c r="AS172" s="22">
        <f>IF($B172="","",COUNTIF('Портфолио'!$A$5:$A$205,$B172))</f>
        <v/>
      </c>
      <c r="AT172" s="22">
        <f>IF($B172="","",COUNTIF('Решения'!$A$5:$A$205,$B172))</f>
        <v/>
      </c>
      <c r="AU172" s="36">
        <f>IF($B172="","",(15*(R172&lt;&gt;"")+15*(COUNTIF(T172:AE172,"Да")&gt;0)+15*AND(J172&lt;&gt;"",OR(L172&lt;&gt;"",M172&lt;&gt;""))+15*(AS172&gt;0)+10*(AT172&gt;0)+10*(COUNTIF(AM172:AR172,"Да")&gt;0)+10*IF(A172="Внешний вендор",D172&lt;&gt;"",E172&lt;&gt;"")+5*(I172&lt;&gt;"")+5*IF(A172="Внешний вендор",G172&lt;&gt;"",TRUE))/100)</f>
        <v/>
      </c>
      <c r="AV172" s="21" t="n"/>
      <c r="AW172" s="21" t="n"/>
    </row>
    <row r="173">
      <c r="A173" s="25" t="n"/>
      <c r="B173" s="25" t="n"/>
      <c r="C173" s="25" t="n"/>
      <c r="D173" s="3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5" t="n"/>
      <c r="AQ173" s="25" t="n"/>
      <c r="AR173" s="25" t="n"/>
      <c r="AS173" s="22">
        <f>IF($B173="","",COUNTIF('Портфолио'!$A$5:$A$205,$B173))</f>
        <v/>
      </c>
      <c r="AT173" s="22">
        <f>IF($B173="","",COUNTIF('Решения'!$A$5:$A$205,$B173))</f>
        <v/>
      </c>
      <c r="AU173" s="36">
        <f>IF($B173="","",(15*(R173&lt;&gt;"")+15*(COUNTIF(T173:AE173,"Да")&gt;0)+15*AND(J173&lt;&gt;"",OR(L173&lt;&gt;"",M173&lt;&gt;""))+15*(AS173&gt;0)+10*(AT173&gt;0)+10*(COUNTIF(AM173:AR173,"Да")&gt;0)+10*IF(A173="Внешний вендор",D173&lt;&gt;"",E173&lt;&gt;"")+5*(I173&lt;&gt;"")+5*IF(A173="Внешний вендор",G173&lt;&gt;"",TRUE))/100)</f>
        <v/>
      </c>
      <c r="AV173" s="21" t="n"/>
      <c r="AW173" s="21" t="n"/>
    </row>
    <row r="174">
      <c r="A174" s="25" t="n"/>
      <c r="B174" s="25" t="n"/>
      <c r="C174" s="25" t="n"/>
      <c r="D174" s="3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  <c r="AD174" s="25" t="n"/>
      <c r="AE174" s="25" t="n"/>
      <c r="AF174" s="25" t="n"/>
      <c r="AG174" s="25" t="n"/>
      <c r="AH174" s="25" t="n"/>
      <c r="AI174" s="25" t="n"/>
      <c r="AJ174" s="25" t="n"/>
      <c r="AK174" s="25" t="n"/>
      <c r="AL174" s="25" t="n"/>
      <c r="AM174" s="25" t="n"/>
      <c r="AN174" s="25" t="n"/>
      <c r="AO174" s="25" t="n"/>
      <c r="AP174" s="25" t="n"/>
      <c r="AQ174" s="25" t="n"/>
      <c r="AR174" s="25" t="n"/>
      <c r="AS174" s="22">
        <f>IF($B174="","",COUNTIF('Портфолио'!$A$5:$A$205,$B174))</f>
        <v/>
      </c>
      <c r="AT174" s="22">
        <f>IF($B174="","",COUNTIF('Решения'!$A$5:$A$205,$B174))</f>
        <v/>
      </c>
      <c r="AU174" s="36">
        <f>IF($B174="","",(15*(R174&lt;&gt;"")+15*(COUNTIF(T174:AE174,"Да")&gt;0)+15*AND(J174&lt;&gt;"",OR(L174&lt;&gt;"",M174&lt;&gt;""))+15*(AS174&gt;0)+10*(AT174&gt;0)+10*(COUNTIF(AM174:AR174,"Да")&gt;0)+10*IF(A174="Внешний вендор",D174&lt;&gt;"",E174&lt;&gt;"")+5*(I174&lt;&gt;"")+5*IF(A174="Внешний вендор",G174&lt;&gt;"",TRUE))/100)</f>
        <v/>
      </c>
      <c r="AV174" s="21" t="n"/>
      <c r="AW174" s="21" t="n"/>
    </row>
    <row r="175">
      <c r="A175" s="25" t="n"/>
      <c r="B175" s="25" t="n"/>
      <c r="C175" s="25" t="n"/>
      <c r="D175" s="3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  <c r="AD175" s="25" t="n"/>
      <c r="AE175" s="25" t="n"/>
      <c r="AF175" s="25" t="n"/>
      <c r="AG175" s="25" t="n"/>
      <c r="AH175" s="25" t="n"/>
      <c r="AI175" s="25" t="n"/>
      <c r="AJ175" s="25" t="n"/>
      <c r="AK175" s="25" t="n"/>
      <c r="AL175" s="25" t="n"/>
      <c r="AM175" s="25" t="n"/>
      <c r="AN175" s="25" t="n"/>
      <c r="AO175" s="25" t="n"/>
      <c r="AP175" s="25" t="n"/>
      <c r="AQ175" s="25" t="n"/>
      <c r="AR175" s="25" t="n"/>
      <c r="AS175" s="22">
        <f>IF($B175="","",COUNTIF('Портфолио'!$A$5:$A$205,$B175))</f>
        <v/>
      </c>
      <c r="AT175" s="22">
        <f>IF($B175="","",COUNTIF('Решения'!$A$5:$A$205,$B175))</f>
        <v/>
      </c>
      <c r="AU175" s="36">
        <f>IF($B175="","",(15*(R175&lt;&gt;"")+15*(COUNTIF(T175:AE175,"Да")&gt;0)+15*AND(J175&lt;&gt;"",OR(L175&lt;&gt;"",M175&lt;&gt;""))+15*(AS175&gt;0)+10*(AT175&gt;0)+10*(COUNTIF(AM175:AR175,"Да")&gt;0)+10*IF(A175="Внешний вендор",D175&lt;&gt;"",E175&lt;&gt;"")+5*(I175&lt;&gt;"")+5*IF(A175="Внешний вендор",G175&lt;&gt;"",TRUE))/100)</f>
        <v/>
      </c>
      <c r="AV175" s="21" t="n"/>
      <c r="AW175" s="21" t="n"/>
    </row>
    <row r="176">
      <c r="A176" s="25" t="n"/>
      <c r="B176" s="25" t="n"/>
      <c r="C176" s="25" t="n"/>
      <c r="D176" s="3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5" t="n"/>
      <c r="AQ176" s="25" t="n"/>
      <c r="AR176" s="25" t="n"/>
      <c r="AS176" s="22">
        <f>IF($B176="","",COUNTIF('Портфолио'!$A$5:$A$205,$B176))</f>
        <v/>
      </c>
      <c r="AT176" s="22">
        <f>IF($B176="","",COUNTIF('Решения'!$A$5:$A$205,$B176))</f>
        <v/>
      </c>
      <c r="AU176" s="36">
        <f>IF($B176="","",(15*(R176&lt;&gt;"")+15*(COUNTIF(T176:AE176,"Да")&gt;0)+15*AND(J176&lt;&gt;"",OR(L176&lt;&gt;"",M176&lt;&gt;""))+15*(AS176&gt;0)+10*(AT176&gt;0)+10*(COUNTIF(AM176:AR176,"Да")&gt;0)+10*IF(A176="Внешний вендор",D176&lt;&gt;"",E176&lt;&gt;"")+5*(I176&lt;&gt;"")+5*IF(A176="Внешний вендор",G176&lt;&gt;"",TRUE))/100)</f>
        <v/>
      </c>
      <c r="AV176" s="21" t="n"/>
      <c r="AW176" s="21" t="n"/>
    </row>
    <row r="177">
      <c r="A177" s="25" t="n"/>
      <c r="B177" s="25" t="n"/>
      <c r="C177" s="25" t="n"/>
      <c r="D177" s="3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  <c r="AD177" s="25" t="n"/>
      <c r="AE177" s="25" t="n"/>
      <c r="AF177" s="25" t="n"/>
      <c r="AG177" s="25" t="n"/>
      <c r="AH177" s="25" t="n"/>
      <c r="AI177" s="25" t="n"/>
      <c r="AJ177" s="25" t="n"/>
      <c r="AK177" s="25" t="n"/>
      <c r="AL177" s="25" t="n"/>
      <c r="AM177" s="25" t="n"/>
      <c r="AN177" s="25" t="n"/>
      <c r="AO177" s="25" t="n"/>
      <c r="AP177" s="25" t="n"/>
      <c r="AQ177" s="25" t="n"/>
      <c r="AR177" s="25" t="n"/>
      <c r="AS177" s="22">
        <f>IF($B177="","",COUNTIF('Портфолио'!$A$5:$A$205,$B177))</f>
        <v/>
      </c>
      <c r="AT177" s="22">
        <f>IF($B177="","",COUNTIF('Решения'!$A$5:$A$205,$B177))</f>
        <v/>
      </c>
      <c r="AU177" s="36">
        <f>IF($B177="","",(15*(R177&lt;&gt;"")+15*(COUNTIF(T177:AE177,"Да")&gt;0)+15*AND(J177&lt;&gt;"",OR(L177&lt;&gt;"",M177&lt;&gt;""))+15*(AS177&gt;0)+10*(AT177&gt;0)+10*(COUNTIF(AM177:AR177,"Да")&gt;0)+10*IF(A177="Внешний вендор",D177&lt;&gt;"",E177&lt;&gt;"")+5*(I177&lt;&gt;"")+5*IF(A177="Внешний вендор",G177&lt;&gt;"",TRUE))/100)</f>
        <v/>
      </c>
      <c r="AV177" s="21" t="n"/>
      <c r="AW177" s="21" t="n"/>
    </row>
    <row r="178">
      <c r="A178" s="25" t="n"/>
      <c r="B178" s="25" t="n"/>
      <c r="C178" s="25" t="n"/>
      <c r="D178" s="3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5" t="n"/>
      <c r="AI178" s="25" t="n"/>
      <c r="AJ178" s="25" t="n"/>
      <c r="AK178" s="25" t="n"/>
      <c r="AL178" s="25" t="n"/>
      <c r="AM178" s="25" t="n"/>
      <c r="AN178" s="25" t="n"/>
      <c r="AO178" s="25" t="n"/>
      <c r="AP178" s="25" t="n"/>
      <c r="AQ178" s="25" t="n"/>
      <c r="AR178" s="25" t="n"/>
      <c r="AS178" s="22">
        <f>IF($B178="","",COUNTIF('Портфолио'!$A$5:$A$205,$B178))</f>
        <v/>
      </c>
      <c r="AT178" s="22">
        <f>IF($B178="","",COUNTIF('Решения'!$A$5:$A$205,$B178))</f>
        <v/>
      </c>
      <c r="AU178" s="36">
        <f>IF($B178="","",(15*(R178&lt;&gt;"")+15*(COUNTIF(T178:AE178,"Да")&gt;0)+15*AND(J178&lt;&gt;"",OR(L178&lt;&gt;"",M178&lt;&gt;""))+15*(AS178&gt;0)+10*(AT178&gt;0)+10*(COUNTIF(AM178:AR178,"Да")&gt;0)+10*IF(A178="Внешний вендор",D178&lt;&gt;"",E178&lt;&gt;"")+5*(I178&lt;&gt;"")+5*IF(A178="Внешний вендор",G178&lt;&gt;"",TRUE))/100)</f>
        <v/>
      </c>
      <c r="AV178" s="21" t="n"/>
      <c r="AW178" s="21" t="n"/>
    </row>
    <row r="179">
      <c r="A179" s="25" t="n"/>
      <c r="B179" s="25" t="n"/>
      <c r="C179" s="25" t="n"/>
      <c r="D179" s="3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  <c r="AD179" s="25" t="n"/>
      <c r="AE179" s="25" t="n"/>
      <c r="AF179" s="25" t="n"/>
      <c r="AG179" s="25" t="n"/>
      <c r="AH179" s="25" t="n"/>
      <c r="AI179" s="25" t="n"/>
      <c r="AJ179" s="25" t="n"/>
      <c r="AK179" s="25" t="n"/>
      <c r="AL179" s="25" t="n"/>
      <c r="AM179" s="25" t="n"/>
      <c r="AN179" s="25" t="n"/>
      <c r="AO179" s="25" t="n"/>
      <c r="AP179" s="25" t="n"/>
      <c r="AQ179" s="25" t="n"/>
      <c r="AR179" s="25" t="n"/>
      <c r="AS179" s="22">
        <f>IF($B179="","",COUNTIF('Портфолио'!$A$5:$A$205,$B179))</f>
        <v/>
      </c>
      <c r="AT179" s="22">
        <f>IF($B179="","",COUNTIF('Решения'!$A$5:$A$205,$B179))</f>
        <v/>
      </c>
      <c r="AU179" s="36">
        <f>IF($B179="","",(15*(R179&lt;&gt;"")+15*(COUNTIF(T179:AE179,"Да")&gt;0)+15*AND(J179&lt;&gt;"",OR(L179&lt;&gt;"",M179&lt;&gt;""))+15*(AS179&gt;0)+10*(AT179&gt;0)+10*(COUNTIF(AM179:AR179,"Да")&gt;0)+10*IF(A179="Внешний вендор",D179&lt;&gt;"",E179&lt;&gt;"")+5*(I179&lt;&gt;"")+5*IF(A179="Внешний вендор",G179&lt;&gt;"",TRUE))/100)</f>
        <v/>
      </c>
      <c r="AV179" s="21" t="n"/>
      <c r="AW179" s="21" t="n"/>
    </row>
    <row r="180">
      <c r="A180" s="25" t="n"/>
      <c r="B180" s="25" t="n"/>
      <c r="C180" s="25" t="n"/>
      <c r="D180" s="3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25" t="n"/>
      <c r="AL180" s="25" t="n"/>
      <c r="AM180" s="25" t="n"/>
      <c r="AN180" s="25" t="n"/>
      <c r="AO180" s="25" t="n"/>
      <c r="AP180" s="25" t="n"/>
      <c r="AQ180" s="25" t="n"/>
      <c r="AR180" s="25" t="n"/>
      <c r="AS180" s="22">
        <f>IF($B180="","",COUNTIF('Портфолио'!$A$5:$A$205,$B180))</f>
        <v/>
      </c>
      <c r="AT180" s="22">
        <f>IF($B180="","",COUNTIF('Решения'!$A$5:$A$205,$B180))</f>
        <v/>
      </c>
      <c r="AU180" s="36">
        <f>IF($B180="","",(15*(R180&lt;&gt;"")+15*(COUNTIF(T180:AE180,"Да")&gt;0)+15*AND(J180&lt;&gt;"",OR(L180&lt;&gt;"",M180&lt;&gt;""))+15*(AS180&gt;0)+10*(AT180&gt;0)+10*(COUNTIF(AM180:AR180,"Да")&gt;0)+10*IF(A180="Внешний вендор",D180&lt;&gt;"",E180&lt;&gt;"")+5*(I180&lt;&gt;"")+5*IF(A180="Внешний вендор",G180&lt;&gt;"",TRUE))/100)</f>
        <v/>
      </c>
      <c r="AV180" s="21" t="n"/>
      <c r="AW180" s="21" t="n"/>
    </row>
    <row r="181">
      <c r="A181" s="25" t="n"/>
      <c r="B181" s="25" t="n"/>
      <c r="C181" s="25" t="n"/>
      <c r="D181" s="3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  <c r="AD181" s="25" t="n"/>
      <c r="AE181" s="25" t="n"/>
      <c r="AF181" s="25" t="n"/>
      <c r="AG181" s="25" t="n"/>
      <c r="AH181" s="25" t="n"/>
      <c r="AI181" s="25" t="n"/>
      <c r="AJ181" s="25" t="n"/>
      <c r="AK181" s="25" t="n"/>
      <c r="AL181" s="25" t="n"/>
      <c r="AM181" s="25" t="n"/>
      <c r="AN181" s="25" t="n"/>
      <c r="AO181" s="25" t="n"/>
      <c r="AP181" s="25" t="n"/>
      <c r="AQ181" s="25" t="n"/>
      <c r="AR181" s="25" t="n"/>
      <c r="AS181" s="22">
        <f>IF($B181="","",COUNTIF('Портфолио'!$A$5:$A$205,$B181))</f>
        <v/>
      </c>
      <c r="AT181" s="22">
        <f>IF($B181="","",COUNTIF('Решения'!$A$5:$A$205,$B181))</f>
        <v/>
      </c>
      <c r="AU181" s="36">
        <f>IF($B181="","",(15*(R181&lt;&gt;"")+15*(COUNTIF(T181:AE181,"Да")&gt;0)+15*AND(J181&lt;&gt;"",OR(L181&lt;&gt;"",M181&lt;&gt;""))+15*(AS181&gt;0)+10*(AT181&gt;0)+10*(COUNTIF(AM181:AR181,"Да")&gt;0)+10*IF(A181="Внешний вендор",D181&lt;&gt;"",E181&lt;&gt;"")+5*(I181&lt;&gt;"")+5*IF(A181="Внешний вендор",G181&lt;&gt;"",TRUE))/100)</f>
        <v/>
      </c>
      <c r="AV181" s="21" t="n"/>
      <c r="AW181" s="21" t="n"/>
    </row>
    <row r="182">
      <c r="A182" s="25" t="n"/>
      <c r="B182" s="25" t="n"/>
      <c r="C182" s="25" t="n"/>
      <c r="D182" s="3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  <c r="AD182" s="25" t="n"/>
      <c r="AE182" s="25" t="n"/>
      <c r="AF182" s="25" t="n"/>
      <c r="AG182" s="25" t="n"/>
      <c r="AH182" s="25" t="n"/>
      <c r="AI182" s="25" t="n"/>
      <c r="AJ182" s="25" t="n"/>
      <c r="AK182" s="25" t="n"/>
      <c r="AL182" s="25" t="n"/>
      <c r="AM182" s="25" t="n"/>
      <c r="AN182" s="25" t="n"/>
      <c r="AO182" s="25" t="n"/>
      <c r="AP182" s="25" t="n"/>
      <c r="AQ182" s="25" t="n"/>
      <c r="AR182" s="25" t="n"/>
      <c r="AS182" s="22">
        <f>IF($B182="","",COUNTIF('Портфолио'!$A$5:$A$205,$B182))</f>
        <v/>
      </c>
      <c r="AT182" s="22">
        <f>IF($B182="","",COUNTIF('Решения'!$A$5:$A$205,$B182))</f>
        <v/>
      </c>
      <c r="AU182" s="36">
        <f>IF($B182="","",(15*(R182&lt;&gt;"")+15*(COUNTIF(T182:AE182,"Да")&gt;0)+15*AND(J182&lt;&gt;"",OR(L182&lt;&gt;"",M182&lt;&gt;""))+15*(AS182&gt;0)+10*(AT182&gt;0)+10*(COUNTIF(AM182:AR182,"Да")&gt;0)+10*IF(A182="Внешний вендор",D182&lt;&gt;"",E182&lt;&gt;"")+5*(I182&lt;&gt;"")+5*IF(A182="Внешний вендор",G182&lt;&gt;"",TRUE))/100)</f>
        <v/>
      </c>
      <c r="AV182" s="21" t="n"/>
      <c r="AW182" s="21" t="n"/>
    </row>
    <row r="183">
      <c r="A183" s="25" t="n"/>
      <c r="B183" s="25" t="n"/>
      <c r="C183" s="25" t="n"/>
      <c r="D183" s="3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  <c r="AD183" s="25" t="n"/>
      <c r="AE183" s="25" t="n"/>
      <c r="AF183" s="25" t="n"/>
      <c r="AG183" s="25" t="n"/>
      <c r="AH183" s="25" t="n"/>
      <c r="AI183" s="25" t="n"/>
      <c r="AJ183" s="25" t="n"/>
      <c r="AK183" s="25" t="n"/>
      <c r="AL183" s="25" t="n"/>
      <c r="AM183" s="25" t="n"/>
      <c r="AN183" s="25" t="n"/>
      <c r="AO183" s="25" t="n"/>
      <c r="AP183" s="25" t="n"/>
      <c r="AQ183" s="25" t="n"/>
      <c r="AR183" s="25" t="n"/>
      <c r="AS183" s="22">
        <f>IF($B183="","",COUNTIF('Портфолио'!$A$5:$A$205,$B183))</f>
        <v/>
      </c>
      <c r="AT183" s="22">
        <f>IF($B183="","",COUNTIF('Решения'!$A$5:$A$205,$B183))</f>
        <v/>
      </c>
      <c r="AU183" s="36">
        <f>IF($B183="","",(15*(R183&lt;&gt;"")+15*(COUNTIF(T183:AE183,"Да")&gt;0)+15*AND(J183&lt;&gt;"",OR(L183&lt;&gt;"",M183&lt;&gt;""))+15*(AS183&gt;0)+10*(AT183&gt;0)+10*(COUNTIF(AM183:AR183,"Да")&gt;0)+10*IF(A183="Внешний вендор",D183&lt;&gt;"",E183&lt;&gt;"")+5*(I183&lt;&gt;"")+5*IF(A183="Внешний вендор",G183&lt;&gt;"",TRUE))/100)</f>
        <v/>
      </c>
      <c r="AV183" s="21" t="n"/>
      <c r="AW183" s="21" t="n"/>
    </row>
    <row r="184">
      <c r="A184" s="25" t="n"/>
      <c r="B184" s="25" t="n"/>
      <c r="C184" s="25" t="n"/>
      <c r="D184" s="3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25" t="n"/>
      <c r="AL184" s="25" t="n"/>
      <c r="AM184" s="25" t="n"/>
      <c r="AN184" s="25" t="n"/>
      <c r="AO184" s="25" t="n"/>
      <c r="AP184" s="25" t="n"/>
      <c r="AQ184" s="25" t="n"/>
      <c r="AR184" s="25" t="n"/>
      <c r="AS184" s="22">
        <f>IF($B184="","",COUNTIF('Портфолио'!$A$5:$A$205,$B184))</f>
        <v/>
      </c>
      <c r="AT184" s="22">
        <f>IF($B184="","",COUNTIF('Решения'!$A$5:$A$205,$B184))</f>
        <v/>
      </c>
      <c r="AU184" s="36">
        <f>IF($B184="","",(15*(R184&lt;&gt;"")+15*(COUNTIF(T184:AE184,"Да")&gt;0)+15*AND(J184&lt;&gt;"",OR(L184&lt;&gt;"",M184&lt;&gt;""))+15*(AS184&gt;0)+10*(AT184&gt;0)+10*(COUNTIF(AM184:AR184,"Да")&gt;0)+10*IF(A184="Внешний вендор",D184&lt;&gt;"",E184&lt;&gt;"")+5*(I184&lt;&gt;"")+5*IF(A184="Внешний вендор",G184&lt;&gt;"",TRUE))/100)</f>
        <v/>
      </c>
      <c r="AV184" s="21" t="n"/>
      <c r="AW184" s="21" t="n"/>
    </row>
    <row r="185">
      <c r="A185" s="25" t="n"/>
      <c r="B185" s="25" t="n"/>
      <c r="C185" s="25" t="n"/>
      <c r="D185" s="3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  <c r="AD185" s="25" t="n"/>
      <c r="AE185" s="25" t="n"/>
      <c r="AF185" s="25" t="n"/>
      <c r="AG185" s="25" t="n"/>
      <c r="AH185" s="25" t="n"/>
      <c r="AI185" s="25" t="n"/>
      <c r="AJ185" s="25" t="n"/>
      <c r="AK185" s="25" t="n"/>
      <c r="AL185" s="25" t="n"/>
      <c r="AM185" s="25" t="n"/>
      <c r="AN185" s="25" t="n"/>
      <c r="AO185" s="25" t="n"/>
      <c r="AP185" s="25" t="n"/>
      <c r="AQ185" s="25" t="n"/>
      <c r="AR185" s="25" t="n"/>
      <c r="AS185" s="22">
        <f>IF($B185="","",COUNTIF('Портфолио'!$A$5:$A$205,$B185))</f>
        <v/>
      </c>
      <c r="AT185" s="22">
        <f>IF($B185="","",COUNTIF('Решения'!$A$5:$A$205,$B185))</f>
        <v/>
      </c>
      <c r="AU185" s="36">
        <f>IF($B185="","",(15*(R185&lt;&gt;"")+15*(COUNTIF(T185:AE185,"Да")&gt;0)+15*AND(J185&lt;&gt;"",OR(L185&lt;&gt;"",M185&lt;&gt;""))+15*(AS185&gt;0)+10*(AT185&gt;0)+10*(COUNTIF(AM185:AR185,"Да")&gt;0)+10*IF(A185="Внешний вендор",D185&lt;&gt;"",E185&lt;&gt;"")+5*(I185&lt;&gt;"")+5*IF(A185="Внешний вендор",G185&lt;&gt;"",TRUE))/100)</f>
        <v/>
      </c>
      <c r="AV185" s="21" t="n"/>
      <c r="AW185" s="21" t="n"/>
    </row>
    <row r="186">
      <c r="A186" s="25" t="n"/>
      <c r="B186" s="25" t="n"/>
      <c r="C186" s="25" t="n"/>
      <c r="D186" s="3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  <c r="AD186" s="25" t="n"/>
      <c r="AE186" s="25" t="n"/>
      <c r="AF186" s="25" t="n"/>
      <c r="AG186" s="25" t="n"/>
      <c r="AH186" s="25" t="n"/>
      <c r="AI186" s="25" t="n"/>
      <c r="AJ186" s="25" t="n"/>
      <c r="AK186" s="25" t="n"/>
      <c r="AL186" s="25" t="n"/>
      <c r="AM186" s="25" t="n"/>
      <c r="AN186" s="25" t="n"/>
      <c r="AO186" s="25" t="n"/>
      <c r="AP186" s="25" t="n"/>
      <c r="AQ186" s="25" t="n"/>
      <c r="AR186" s="25" t="n"/>
      <c r="AS186" s="22">
        <f>IF($B186="","",COUNTIF('Портфолио'!$A$5:$A$205,$B186))</f>
        <v/>
      </c>
      <c r="AT186" s="22">
        <f>IF($B186="","",COUNTIF('Решения'!$A$5:$A$205,$B186))</f>
        <v/>
      </c>
      <c r="AU186" s="36">
        <f>IF($B186="","",(15*(R186&lt;&gt;"")+15*(COUNTIF(T186:AE186,"Да")&gt;0)+15*AND(J186&lt;&gt;"",OR(L186&lt;&gt;"",M186&lt;&gt;""))+15*(AS186&gt;0)+10*(AT186&gt;0)+10*(COUNTIF(AM186:AR186,"Да")&gt;0)+10*IF(A186="Внешний вендор",D186&lt;&gt;"",E186&lt;&gt;"")+5*(I186&lt;&gt;"")+5*IF(A186="Внешний вендор",G186&lt;&gt;"",TRUE))/100)</f>
        <v/>
      </c>
      <c r="AV186" s="21" t="n"/>
      <c r="AW186" s="21" t="n"/>
    </row>
    <row r="187">
      <c r="A187" s="25" t="n"/>
      <c r="B187" s="25" t="n"/>
      <c r="C187" s="25" t="n"/>
      <c r="D187" s="3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5" t="n"/>
      <c r="AI187" s="25" t="n"/>
      <c r="AJ187" s="25" t="n"/>
      <c r="AK187" s="25" t="n"/>
      <c r="AL187" s="25" t="n"/>
      <c r="AM187" s="25" t="n"/>
      <c r="AN187" s="25" t="n"/>
      <c r="AO187" s="25" t="n"/>
      <c r="AP187" s="25" t="n"/>
      <c r="AQ187" s="25" t="n"/>
      <c r="AR187" s="25" t="n"/>
      <c r="AS187" s="22">
        <f>IF($B187="","",COUNTIF('Портфолио'!$A$5:$A$205,$B187))</f>
        <v/>
      </c>
      <c r="AT187" s="22">
        <f>IF($B187="","",COUNTIF('Решения'!$A$5:$A$205,$B187))</f>
        <v/>
      </c>
      <c r="AU187" s="36">
        <f>IF($B187="","",(15*(R187&lt;&gt;"")+15*(COUNTIF(T187:AE187,"Да")&gt;0)+15*AND(J187&lt;&gt;"",OR(L187&lt;&gt;"",M187&lt;&gt;""))+15*(AS187&gt;0)+10*(AT187&gt;0)+10*(COUNTIF(AM187:AR187,"Да")&gt;0)+10*IF(A187="Внешний вендор",D187&lt;&gt;"",E187&lt;&gt;"")+5*(I187&lt;&gt;"")+5*IF(A187="Внешний вендор",G187&lt;&gt;"",TRUE))/100)</f>
        <v/>
      </c>
      <c r="AV187" s="21" t="n"/>
      <c r="AW187" s="21" t="n"/>
    </row>
    <row r="188">
      <c r="A188" s="25" t="n"/>
      <c r="B188" s="25" t="n"/>
      <c r="C188" s="25" t="n"/>
      <c r="D188" s="3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  <c r="AD188" s="25" t="n"/>
      <c r="AE188" s="25" t="n"/>
      <c r="AF188" s="25" t="n"/>
      <c r="AG188" s="25" t="n"/>
      <c r="AH188" s="25" t="n"/>
      <c r="AI188" s="25" t="n"/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  <c r="AS188" s="22">
        <f>IF($B188="","",COUNTIF('Портфолио'!$A$5:$A$205,$B188))</f>
        <v/>
      </c>
      <c r="AT188" s="22">
        <f>IF($B188="","",COUNTIF('Решения'!$A$5:$A$205,$B188))</f>
        <v/>
      </c>
      <c r="AU188" s="36">
        <f>IF($B188="","",(15*(R188&lt;&gt;"")+15*(COUNTIF(T188:AE188,"Да")&gt;0)+15*AND(J188&lt;&gt;"",OR(L188&lt;&gt;"",M188&lt;&gt;""))+15*(AS188&gt;0)+10*(AT188&gt;0)+10*(COUNTIF(AM188:AR188,"Да")&gt;0)+10*IF(A188="Внешний вендор",D188&lt;&gt;"",E188&lt;&gt;"")+5*(I188&lt;&gt;"")+5*IF(A188="Внешний вендор",G188&lt;&gt;"",TRUE))/100)</f>
        <v/>
      </c>
      <c r="AV188" s="21" t="n"/>
      <c r="AW188" s="21" t="n"/>
    </row>
    <row r="189">
      <c r="A189" s="25" t="n"/>
      <c r="B189" s="25" t="n"/>
      <c r="C189" s="25" t="n"/>
      <c r="D189" s="3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  <c r="AD189" s="25" t="n"/>
      <c r="AE189" s="25" t="n"/>
      <c r="AF189" s="25" t="n"/>
      <c r="AG189" s="25" t="n"/>
      <c r="AH189" s="25" t="n"/>
      <c r="AI189" s="25" t="n"/>
      <c r="AJ189" s="25" t="n"/>
      <c r="AK189" s="25" t="n"/>
      <c r="AL189" s="25" t="n"/>
      <c r="AM189" s="25" t="n"/>
      <c r="AN189" s="25" t="n"/>
      <c r="AO189" s="25" t="n"/>
      <c r="AP189" s="25" t="n"/>
      <c r="AQ189" s="25" t="n"/>
      <c r="AR189" s="25" t="n"/>
      <c r="AS189" s="22">
        <f>IF($B189="","",COUNTIF('Портфолио'!$A$5:$A$205,$B189))</f>
        <v/>
      </c>
      <c r="AT189" s="22">
        <f>IF($B189="","",COUNTIF('Решения'!$A$5:$A$205,$B189))</f>
        <v/>
      </c>
      <c r="AU189" s="36">
        <f>IF($B189="","",(15*(R189&lt;&gt;"")+15*(COUNTIF(T189:AE189,"Да")&gt;0)+15*AND(J189&lt;&gt;"",OR(L189&lt;&gt;"",M189&lt;&gt;""))+15*(AS189&gt;0)+10*(AT189&gt;0)+10*(COUNTIF(AM189:AR189,"Да")&gt;0)+10*IF(A189="Внешний вендор",D189&lt;&gt;"",E189&lt;&gt;"")+5*(I189&lt;&gt;"")+5*IF(A189="Внешний вендор",G189&lt;&gt;"",TRUE))/100)</f>
        <v/>
      </c>
      <c r="AV189" s="21" t="n"/>
      <c r="AW189" s="21" t="n"/>
    </row>
    <row r="190">
      <c r="A190" s="25" t="n"/>
      <c r="B190" s="25" t="n"/>
      <c r="C190" s="25" t="n"/>
      <c r="D190" s="3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  <c r="AD190" s="25" t="n"/>
      <c r="AE190" s="25" t="n"/>
      <c r="AF190" s="25" t="n"/>
      <c r="AG190" s="25" t="n"/>
      <c r="AH190" s="25" t="n"/>
      <c r="AI190" s="25" t="n"/>
      <c r="AJ190" s="25" t="n"/>
      <c r="AK190" s="25" t="n"/>
      <c r="AL190" s="25" t="n"/>
      <c r="AM190" s="25" t="n"/>
      <c r="AN190" s="25" t="n"/>
      <c r="AO190" s="25" t="n"/>
      <c r="AP190" s="25" t="n"/>
      <c r="AQ190" s="25" t="n"/>
      <c r="AR190" s="25" t="n"/>
      <c r="AS190" s="22">
        <f>IF($B190="","",COUNTIF('Портфолио'!$A$5:$A$205,$B190))</f>
        <v/>
      </c>
      <c r="AT190" s="22">
        <f>IF($B190="","",COUNTIF('Решения'!$A$5:$A$205,$B190))</f>
        <v/>
      </c>
      <c r="AU190" s="36">
        <f>IF($B190="","",(15*(R190&lt;&gt;"")+15*(COUNTIF(T190:AE190,"Да")&gt;0)+15*AND(J190&lt;&gt;"",OR(L190&lt;&gt;"",M190&lt;&gt;""))+15*(AS190&gt;0)+10*(AT190&gt;0)+10*(COUNTIF(AM190:AR190,"Да")&gt;0)+10*IF(A190="Внешний вендор",D190&lt;&gt;"",E190&lt;&gt;"")+5*(I190&lt;&gt;"")+5*IF(A190="Внешний вендор",G190&lt;&gt;"",TRUE))/100)</f>
        <v/>
      </c>
      <c r="AV190" s="21" t="n"/>
      <c r="AW190" s="21" t="n"/>
    </row>
    <row r="191">
      <c r="A191" s="25" t="n"/>
      <c r="B191" s="25" t="n"/>
      <c r="C191" s="25" t="n"/>
      <c r="D191" s="3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  <c r="AD191" s="25" t="n"/>
      <c r="AE191" s="25" t="n"/>
      <c r="AF191" s="25" t="n"/>
      <c r="AG191" s="25" t="n"/>
      <c r="AH191" s="25" t="n"/>
      <c r="AI191" s="25" t="n"/>
      <c r="AJ191" s="25" t="n"/>
      <c r="AK191" s="25" t="n"/>
      <c r="AL191" s="25" t="n"/>
      <c r="AM191" s="25" t="n"/>
      <c r="AN191" s="25" t="n"/>
      <c r="AO191" s="25" t="n"/>
      <c r="AP191" s="25" t="n"/>
      <c r="AQ191" s="25" t="n"/>
      <c r="AR191" s="25" t="n"/>
      <c r="AS191" s="22">
        <f>IF($B191="","",COUNTIF('Портфолио'!$A$5:$A$205,$B191))</f>
        <v/>
      </c>
      <c r="AT191" s="22">
        <f>IF($B191="","",COUNTIF('Решения'!$A$5:$A$205,$B191))</f>
        <v/>
      </c>
      <c r="AU191" s="36">
        <f>IF($B191="","",(15*(R191&lt;&gt;"")+15*(COUNTIF(T191:AE191,"Да")&gt;0)+15*AND(J191&lt;&gt;"",OR(L191&lt;&gt;"",M191&lt;&gt;""))+15*(AS191&gt;0)+10*(AT191&gt;0)+10*(COUNTIF(AM191:AR191,"Да")&gt;0)+10*IF(A191="Внешний вендор",D191&lt;&gt;"",E191&lt;&gt;"")+5*(I191&lt;&gt;"")+5*IF(A191="Внешний вендор",G191&lt;&gt;"",TRUE))/100)</f>
        <v/>
      </c>
      <c r="AV191" s="21" t="n"/>
      <c r="AW191" s="21" t="n"/>
    </row>
    <row r="192">
      <c r="A192" s="25" t="n"/>
      <c r="B192" s="25" t="n"/>
      <c r="C192" s="25" t="n"/>
      <c r="D192" s="3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  <c r="AD192" s="25" t="n"/>
      <c r="AE192" s="25" t="n"/>
      <c r="AF192" s="25" t="n"/>
      <c r="AG192" s="25" t="n"/>
      <c r="AH192" s="25" t="n"/>
      <c r="AI192" s="25" t="n"/>
      <c r="AJ192" s="25" t="n"/>
      <c r="AK192" s="25" t="n"/>
      <c r="AL192" s="25" t="n"/>
      <c r="AM192" s="25" t="n"/>
      <c r="AN192" s="25" t="n"/>
      <c r="AO192" s="25" t="n"/>
      <c r="AP192" s="25" t="n"/>
      <c r="AQ192" s="25" t="n"/>
      <c r="AR192" s="25" t="n"/>
      <c r="AS192" s="22">
        <f>IF($B192="","",COUNTIF('Портфолио'!$A$5:$A$205,$B192))</f>
        <v/>
      </c>
      <c r="AT192" s="22">
        <f>IF($B192="","",COUNTIF('Решения'!$A$5:$A$205,$B192))</f>
        <v/>
      </c>
      <c r="AU192" s="36">
        <f>IF($B192="","",(15*(R192&lt;&gt;"")+15*(COUNTIF(T192:AE192,"Да")&gt;0)+15*AND(J192&lt;&gt;"",OR(L192&lt;&gt;"",M192&lt;&gt;""))+15*(AS192&gt;0)+10*(AT192&gt;0)+10*(COUNTIF(AM192:AR192,"Да")&gt;0)+10*IF(A192="Внешний вендор",D192&lt;&gt;"",E192&lt;&gt;"")+5*(I192&lt;&gt;"")+5*IF(A192="Внешний вендор",G192&lt;&gt;"",TRUE))/100)</f>
        <v/>
      </c>
      <c r="AV192" s="21" t="n"/>
      <c r="AW192" s="21" t="n"/>
    </row>
    <row r="193">
      <c r="A193" s="25" t="n"/>
      <c r="B193" s="25" t="n"/>
      <c r="C193" s="25" t="n"/>
      <c r="D193" s="3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  <c r="AD193" s="25" t="n"/>
      <c r="AE193" s="25" t="n"/>
      <c r="AF193" s="25" t="n"/>
      <c r="AG193" s="25" t="n"/>
      <c r="AH193" s="25" t="n"/>
      <c r="AI193" s="25" t="n"/>
      <c r="AJ193" s="25" t="n"/>
      <c r="AK193" s="25" t="n"/>
      <c r="AL193" s="25" t="n"/>
      <c r="AM193" s="25" t="n"/>
      <c r="AN193" s="25" t="n"/>
      <c r="AO193" s="25" t="n"/>
      <c r="AP193" s="25" t="n"/>
      <c r="AQ193" s="25" t="n"/>
      <c r="AR193" s="25" t="n"/>
      <c r="AS193" s="22">
        <f>IF($B193="","",COUNTIF('Портфолио'!$A$5:$A$205,$B193))</f>
        <v/>
      </c>
      <c r="AT193" s="22">
        <f>IF($B193="","",COUNTIF('Решения'!$A$5:$A$205,$B193))</f>
        <v/>
      </c>
      <c r="AU193" s="36">
        <f>IF($B193="","",(15*(R193&lt;&gt;"")+15*(COUNTIF(T193:AE193,"Да")&gt;0)+15*AND(J193&lt;&gt;"",OR(L193&lt;&gt;"",M193&lt;&gt;""))+15*(AS193&gt;0)+10*(AT193&gt;0)+10*(COUNTIF(AM193:AR193,"Да")&gt;0)+10*IF(A193="Внешний вендор",D193&lt;&gt;"",E193&lt;&gt;"")+5*(I193&lt;&gt;"")+5*IF(A193="Внешний вендор",G193&lt;&gt;"",TRUE))/100)</f>
        <v/>
      </c>
      <c r="AV193" s="21" t="n"/>
      <c r="AW193" s="21" t="n"/>
    </row>
    <row r="194">
      <c r="A194" s="25" t="n"/>
      <c r="B194" s="25" t="n"/>
      <c r="C194" s="25" t="n"/>
      <c r="D194" s="3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25" t="n"/>
      <c r="AL194" s="25" t="n"/>
      <c r="AM194" s="25" t="n"/>
      <c r="AN194" s="25" t="n"/>
      <c r="AO194" s="25" t="n"/>
      <c r="AP194" s="25" t="n"/>
      <c r="AQ194" s="25" t="n"/>
      <c r="AR194" s="25" t="n"/>
      <c r="AS194" s="22">
        <f>IF($B194="","",COUNTIF('Портфолио'!$A$5:$A$205,$B194))</f>
        <v/>
      </c>
      <c r="AT194" s="22">
        <f>IF($B194="","",COUNTIF('Решения'!$A$5:$A$205,$B194))</f>
        <v/>
      </c>
      <c r="AU194" s="36">
        <f>IF($B194="","",(15*(R194&lt;&gt;"")+15*(COUNTIF(T194:AE194,"Да")&gt;0)+15*AND(J194&lt;&gt;"",OR(L194&lt;&gt;"",M194&lt;&gt;""))+15*(AS194&gt;0)+10*(AT194&gt;0)+10*(COUNTIF(AM194:AR194,"Да")&gt;0)+10*IF(A194="Внешний вендор",D194&lt;&gt;"",E194&lt;&gt;"")+5*(I194&lt;&gt;"")+5*IF(A194="Внешний вендор",G194&lt;&gt;"",TRUE))/100)</f>
        <v/>
      </c>
      <c r="AV194" s="21" t="n"/>
      <c r="AW194" s="21" t="n"/>
    </row>
    <row r="195">
      <c r="A195" s="25" t="n"/>
      <c r="B195" s="25" t="n"/>
      <c r="C195" s="25" t="n"/>
      <c r="D195" s="3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  <c r="AD195" s="25" t="n"/>
      <c r="AE195" s="25" t="n"/>
      <c r="AF195" s="25" t="n"/>
      <c r="AG195" s="25" t="n"/>
      <c r="AH195" s="25" t="n"/>
      <c r="AI195" s="25" t="n"/>
      <c r="AJ195" s="25" t="n"/>
      <c r="AK195" s="25" t="n"/>
      <c r="AL195" s="25" t="n"/>
      <c r="AM195" s="25" t="n"/>
      <c r="AN195" s="25" t="n"/>
      <c r="AO195" s="25" t="n"/>
      <c r="AP195" s="25" t="n"/>
      <c r="AQ195" s="25" t="n"/>
      <c r="AR195" s="25" t="n"/>
      <c r="AS195" s="22">
        <f>IF($B195="","",COUNTIF('Портфолио'!$A$5:$A$205,$B195))</f>
        <v/>
      </c>
      <c r="AT195" s="22">
        <f>IF($B195="","",COUNTIF('Решения'!$A$5:$A$205,$B195))</f>
        <v/>
      </c>
      <c r="AU195" s="36">
        <f>IF($B195="","",(15*(R195&lt;&gt;"")+15*(COUNTIF(T195:AE195,"Да")&gt;0)+15*AND(J195&lt;&gt;"",OR(L195&lt;&gt;"",M195&lt;&gt;""))+15*(AS195&gt;0)+10*(AT195&gt;0)+10*(COUNTIF(AM195:AR195,"Да")&gt;0)+10*IF(A195="Внешний вендор",D195&lt;&gt;"",E195&lt;&gt;"")+5*(I195&lt;&gt;"")+5*IF(A195="Внешний вендор",G195&lt;&gt;"",TRUE))/100)</f>
        <v/>
      </c>
      <c r="AV195" s="21" t="n"/>
      <c r="AW195" s="21" t="n"/>
    </row>
    <row r="196">
      <c r="A196" s="25" t="n"/>
      <c r="B196" s="25" t="n"/>
      <c r="C196" s="25" t="n"/>
      <c r="D196" s="3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5" t="n"/>
      <c r="AI196" s="25" t="n"/>
      <c r="AJ196" s="25" t="n"/>
      <c r="AK196" s="25" t="n"/>
      <c r="AL196" s="25" t="n"/>
      <c r="AM196" s="25" t="n"/>
      <c r="AN196" s="25" t="n"/>
      <c r="AO196" s="25" t="n"/>
      <c r="AP196" s="25" t="n"/>
      <c r="AQ196" s="25" t="n"/>
      <c r="AR196" s="25" t="n"/>
      <c r="AS196" s="22">
        <f>IF($B196="","",COUNTIF('Портфолио'!$A$5:$A$205,$B196))</f>
        <v/>
      </c>
      <c r="AT196" s="22">
        <f>IF($B196="","",COUNTIF('Решения'!$A$5:$A$205,$B196))</f>
        <v/>
      </c>
      <c r="AU196" s="36">
        <f>IF($B196="","",(15*(R196&lt;&gt;"")+15*(COUNTIF(T196:AE196,"Да")&gt;0)+15*AND(J196&lt;&gt;"",OR(L196&lt;&gt;"",M196&lt;&gt;""))+15*(AS196&gt;0)+10*(AT196&gt;0)+10*(COUNTIF(AM196:AR196,"Да")&gt;0)+10*IF(A196="Внешний вендор",D196&lt;&gt;"",E196&lt;&gt;"")+5*(I196&lt;&gt;"")+5*IF(A196="Внешний вендор",G196&lt;&gt;"",TRUE))/100)</f>
        <v/>
      </c>
      <c r="AV196" s="21" t="n"/>
      <c r="AW196" s="21" t="n"/>
    </row>
    <row r="197">
      <c r="A197" s="25" t="n"/>
      <c r="B197" s="25" t="n"/>
      <c r="C197" s="25" t="n"/>
      <c r="D197" s="3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  <c r="AD197" s="25" t="n"/>
      <c r="AE197" s="25" t="n"/>
      <c r="AF197" s="25" t="n"/>
      <c r="AG197" s="25" t="n"/>
      <c r="AH197" s="25" t="n"/>
      <c r="AI197" s="25" t="n"/>
      <c r="AJ197" s="25" t="n"/>
      <c r="AK197" s="25" t="n"/>
      <c r="AL197" s="25" t="n"/>
      <c r="AM197" s="25" t="n"/>
      <c r="AN197" s="25" t="n"/>
      <c r="AO197" s="25" t="n"/>
      <c r="AP197" s="25" t="n"/>
      <c r="AQ197" s="25" t="n"/>
      <c r="AR197" s="25" t="n"/>
      <c r="AS197" s="22">
        <f>IF($B197="","",COUNTIF('Портфолио'!$A$5:$A$205,$B197))</f>
        <v/>
      </c>
      <c r="AT197" s="22">
        <f>IF($B197="","",COUNTIF('Решения'!$A$5:$A$205,$B197))</f>
        <v/>
      </c>
      <c r="AU197" s="36">
        <f>IF($B197="","",(15*(R197&lt;&gt;"")+15*(COUNTIF(T197:AE197,"Да")&gt;0)+15*AND(J197&lt;&gt;"",OR(L197&lt;&gt;"",M197&lt;&gt;""))+15*(AS197&gt;0)+10*(AT197&gt;0)+10*(COUNTIF(AM197:AR197,"Да")&gt;0)+10*IF(A197="Внешний вендор",D197&lt;&gt;"",E197&lt;&gt;"")+5*(I197&lt;&gt;"")+5*IF(A197="Внешний вендор",G197&lt;&gt;"",TRUE))/100)</f>
        <v/>
      </c>
      <c r="AV197" s="21" t="n"/>
      <c r="AW197" s="21" t="n"/>
    </row>
    <row r="198">
      <c r="A198" s="25" t="n"/>
      <c r="B198" s="25" t="n"/>
      <c r="C198" s="25" t="n"/>
      <c r="D198" s="3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25" t="n"/>
      <c r="AL198" s="25" t="n"/>
      <c r="AM198" s="25" t="n"/>
      <c r="AN198" s="25" t="n"/>
      <c r="AO198" s="25" t="n"/>
      <c r="AP198" s="25" t="n"/>
      <c r="AQ198" s="25" t="n"/>
      <c r="AR198" s="25" t="n"/>
      <c r="AS198" s="22">
        <f>IF($B198="","",COUNTIF('Портфолио'!$A$5:$A$205,$B198))</f>
        <v/>
      </c>
      <c r="AT198" s="22">
        <f>IF($B198="","",COUNTIF('Решения'!$A$5:$A$205,$B198))</f>
        <v/>
      </c>
      <c r="AU198" s="36">
        <f>IF($B198="","",(15*(R198&lt;&gt;"")+15*(COUNTIF(T198:AE198,"Да")&gt;0)+15*AND(J198&lt;&gt;"",OR(L198&lt;&gt;"",M198&lt;&gt;""))+15*(AS198&gt;0)+10*(AT198&gt;0)+10*(COUNTIF(AM198:AR198,"Да")&gt;0)+10*IF(A198="Внешний вендор",D198&lt;&gt;"",E198&lt;&gt;"")+5*(I198&lt;&gt;"")+5*IF(A198="Внешний вендор",G198&lt;&gt;"",TRUE))/100)</f>
        <v/>
      </c>
      <c r="AV198" s="21" t="n"/>
      <c r="AW198" s="21" t="n"/>
    </row>
    <row r="199">
      <c r="A199" s="25" t="n"/>
      <c r="B199" s="25" t="n"/>
      <c r="C199" s="25" t="n"/>
      <c r="D199" s="3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  <c r="AD199" s="25" t="n"/>
      <c r="AE199" s="25" t="n"/>
      <c r="AF199" s="25" t="n"/>
      <c r="AG199" s="25" t="n"/>
      <c r="AH199" s="25" t="n"/>
      <c r="AI199" s="25" t="n"/>
      <c r="AJ199" s="25" t="n"/>
      <c r="AK199" s="25" t="n"/>
      <c r="AL199" s="25" t="n"/>
      <c r="AM199" s="25" t="n"/>
      <c r="AN199" s="25" t="n"/>
      <c r="AO199" s="25" t="n"/>
      <c r="AP199" s="25" t="n"/>
      <c r="AQ199" s="25" t="n"/>
      <c r="AR199" s="25" t="n"/>
      <c r="AS199" s="22">
        <f>IF($B199="","",COUNTIF('Портфолио'!$A$5:$A$205,$B199))</f>
        <v/>
      </c>
      <c r="AT199" s="22">
        <f>IF($B199="","",COUNTIF('Решения'!$A$5:$A$205,$B199))</f>
        <v/>
      </c>
      <c r="AU199" s="36">
        <f>IF($B199="","",(15*(R199&lt;&gt;"")+15*(COUNTIF(T199:AE199,"Да")&gt;0)+15*AND(J199&lt;&gt;"",OR(L199&lt;&gt;"",M199&lt;&gt;""))+15*(AS199&gt;0)+10*(AT199&gt;0)+10*(COUNTIF(AM199:AR199,"Да")&gt;0)+10*IF(A199="Внешний вендор",D199&lt;&gt;"",E199&lt;&gt;"")+5*(I199&lt;&gt;"")+5*IF(A199="Внешний вендор",G199&lt;&gt;"",TRUE))/100)</f>
        <v/>
      </c>
      <c r="AV199" s="21" t="n"/>
      <c r="AW199" s="21" t="n"/>
    </row>
    <row r="200">
      <c r="A200" s="25" t="n"/>
      <c r="B200" s="25" t="n"/>
      <c r="C200" s="25" t="n"/>
      <c r="D200" s="3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  <c r="AD200" s="25" t="n"/>
      <c r="AE200" s="25" t="n"/>
      <c r="AF200" s="25" t="n"/>
      <c r="AG200" s="25" t="n"/>
      <c r="AH200" s="25" t="n"/>
      <c r="AI200" s="25" t="n"/>
      <c r="AJ200" s="25" t="n"/>
      <c r="AK200" s="25" t="n"/>
      <c r="AL200" s="25" t="n"/>
      <c r="AM200" s="25" t="n"/>
      <c r="AN200" s="25" t="n"/>
      <c r="AO200" s="25" t="n"/>
      <c r="AP200" s="25" t="n"/>
      <c r="AQ200" s="25" t="n"/>
      <c r="AR200" s="25" t="n"/>
      <c r="AS200" s="22">
        <f>IF($B200="","",COUNTIF('Портфолио'!$A$5:$A$205,$B200))</f>
        <v/>
      </c>
      <c r="AT200" s="22">
        <f>IF($B200="","",COUNTIF('Решения'!$A$5:$A$205,$B200))</f>
        <v/>
      </c>
      <c r="AU200" s="36">
        <f>IF($B200="","",(15*(R200&lt;&gt;"")+15*(COUNTIF(T200:AE200,"Да")&gt;0)+15*AND(J200&lt;&gt;"",OR(L200&lt;&gt;"",M200&lt;&gt;""))+15*(AS200&gt;0)+10*(AT200&gt;0)+10*(COUNTIF(AM200:AR200,"Да")&gt;0)+10*IF(A200="Внешний вендор",D200&lt;&gt;"",E200&lt;&gt;"")+5*(I200&lt;&gt;"")+5*IF(A200="Внешний вендор",G200&lt;&gt;"",TRUE))/100)</f>
        <v/>
      </c>
      <c r="AV200" s="21" t="n"/>
      <c r="AW200" s="21" t="n"/>
    </row>
    <row r="201">
      <c r="A201" s="25" t="n"/>
      <c r="B201" s="25" t="n"/>
      <c r="C201" s="25" t="n"/>
      <c r="D201" s="3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  <c r="AD201" s="25" t="n"/>
      <c r="AE201" s="25" t="n"/>
      <c r="AF201" s="25" t="n"/>
      <c r="AG201" s="25" t="n"/>
      <c r="AH201" s="25" t="n"/>
      <c r="AI201" s="25" t="n"/>
      <c r="AJ201" s="25" t="n"/>
      <c r="AK201" s="25" t="n"/>
      <c r="AL201" s="25" t="n"/>
      <c r="AM201" s="25" t="n"/>
      <c r="AN201" s="25" t="n"/>
      <c r="AO201" s="25" t="n"/>
      <c r="AP201" s="25" t="n"/>
      <c r="AQ201" s="25" t="n"/>
      <c r="AR201" s="25" t="n"/>
      <c r="AS201" s="22">
        <f>IF($B201="","",COUNTIF('Портфолио'!$A$5:$A$205,$B201))</f>
        <v/>
      </c>
      <c r="AT201" s="22">
        <f>IF($B201="","",COUNTIF('Решения'!$A$5:$A$205,$B201))</f>
        <v/>
      </c>
      <c r="AU201" s="36">
        <f>IF($B201="","",(15*(R201&lt;&gt;"")+15*(COUNTIF(T201:AE201,"Да")&gt;0)+15*AND(J201&lt;&gt;"",OR(L201&lt;&gt;"",M201&lt;&gt;""))+15*(AS201&gt;0)+10*(AT201&gt;0)+10*(COUNTIF(AM201:AR201,"Да")&gt;0)+10*IF(A201="Внешний вендор",D201&lt;&gt;"",E201&lt;&gt;"")+5*(I201&lt;&gt;"")+5*IF(A201="Внешний вендор",G201&lt;&gt;"",TRUE))/100)</f>
        <v/>
      </c>
      <c r="AV201" s="21" t="n"/>
      <c r="AW201" s="21" t="n"/>
    </row>
    <row r="202">
      <c r="A202" s="25" t="n"/>
      <c r="B202" s="25" t="n"/>
      <c r="C202" s="25" t="n"/>
      <c r="D202" s="3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  <c r="AD202" s="25" t="n"/>
      <c r="AE202" s="25" t="n"/>
      <c r="AF202" s="25" t="n"/>
      <c r="AG202" s="25" t="n"/>
      <c r="AH202" s="25" t="n"/>
      <c r="AI202" s="25" t="n"/>
      <c r="AJ202" s="25" t="n"/>
      <c r="AK202" s="25" t="n"/>
      <c r="AL202" s="25" t="n"/>
      <c r="AM202" s="25" t="n"/>
      <c r="AN202" s="25" t="n"/>
      <c r="AO202" s="25" t="n"/>
      <c r="AP202" s="25" t="n"/>
      <c r="AQ202" s="25" t="n"/>
      <c r="AR202" s="25" t="n"/>
      <c r="AS202" s="22">
        <f>IF($B202="","",COUNTIF('Портфолио'!$A$5:$A$205,$B202))</f>
        <v/>
      </c>
      <c r="AT202" s="22">
        <f>IF($B202="","",COUNTIF('Решения'!$A$5:$A$205,$B202))</f>
        <v/>
      </c>
      <c r="AU202" s="36">
        <f>IF($B202="","",(15*(R202&lt;&gt;"")+15*(COUNTIF(T202:AE202,"Да")&gt;0)+15*AND(J202&lt;&gt;"",OR(L202&lt;&gt;"",M202&lt;&gt;""))+15*(AS202&gt;0)+10*(AT202&gt;0)+10*(COUNTIF(AM202:AR202,"Да")&gt;0)+10*IF(A202="Внешний вендор",D202&lt;&gt;"",E202&lt;&gt;"")+5*(I202&lt;&gt;"")+5*IF(A202="Внешний вендор",G202&lt;&gt;"",TRUE))/100)</f>
        <v/>
      </c>
      <c r="AV202" s="21" t="n"/>
      <c r="AW202" s="21" t="n"/>
    </row>
    <row r="203">
      <c r="A203" s="25" t="n"/>
      <c r="B203" s="25" t="n"/>
      <c r="C203" s="25" t="n"/>
      <c r="D203" s="3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  <c r="AD203" s="25" t="n"/>
      <c r="AE203" s="25" t="n"/>
      <c r="AF203" s="25" t="n"/>
      <c r="AG203" s="25" t="n"/>
      <c r="AH203" s="25" t="n"/>
      <c r="AI203" s="25" t="n"/>
      <c r="AJ203" s="25" t="n"/>
      <c r="AK203" s="25" t="n"/>
      <c r="AL203" s="25" t="n"/>
      <c r="AM203" s="25" t="n"/>
      <c r="AN203" s="25" t="n"/>
      <c r="AO203" s="25" t="n"/>
      <c r="AP203" s="25" t="n"/>
      <c r="AQ203" s="25" t="n"/>
      <c r="AR203" s="25" t="n"/>
      <c r="AS203" s="22">
        <f>IF($B203="","",COUNTIF('Портфолио'!$A$5:$A$205,$B203))</f>
        <v/>
      </c>
      <c r="AT203" s="22">
        <f>IF($B203="","",COUNTIF('Решения'!$A$5:$A$205,$B203))</f>
        <v/>
      </c>
      <c r="AU203" s="36">
        <f>IF($B203="","",(15*(R203&lt;&gt;"")+15*(COUNTIF(T203:AE203,"Да")&gt;0)+15*AND(J203&lt;&gt;"",OR(L203&lt;&gt;"",M203&lt;&gt;""))+15*(AS203&gt;0)+10*(AT203&gt;0)+10*(COUNTIF(AM203:AR203,"Да")&gt;0)+10*IF(A203="Внешний вендор",D203&lt;&gt;"",E203&lt;&gt;"")+5*(I203&lt;&gt;"")+5*IF(A203="Внешний вендор",G203&lt;&gt;"",TRUE))/100)</f>
        <v/>
      </c>
      <c r="AV203" s="21" t="n"/>
      <c r="AW203" s="21" t="n"/>
    </row>
    <row r="204">
      <c r="A204" s="25" t="n"/>
      <c r="B204" s="25" t="n"/>
      <c r="C204" s="25" t="n"/>
      <c r="D204" s="3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  <c r="AD204" s="25" t="n"/>
      <c r="AE204" s="25" t="n"/>
      <c r="AF204" s="25" t="n"/>
      <c r="AG204" s="25" t="n"/>
      <c r="AH204" s="25" t="n"/>
      <c r="AI204" s="25" t="n"/>
      <c r="AJ204" s="25" t="n"/>
      <c r="AK204" s="25" t="n"/>
      <c r="AL204" s="25" t="n"/>
      <c r="AM204" s="25" t="n"/>
      <c r="AN204" s="25" t="n"/>
      <c r="AO204" s="25" t="n"/>
      <c r="AP204" s="25" t="n"/>
      <c r="AQ204" s="25" t="n"/>
      <c r="AR204" s="25" t="n"/>
      <c r="AS204" s="22">
        <f>IF($B204="","",COUNTIF('Портфолио'!$A$5:$A$205,$B204))</f>
        <v/>
      </c>
      <c r="AT204" s="22">
        <f>IF($B204="","",COUNTIF('Решения'!$A$5:$A$205,$B204))</f>
        <v/>
      </c>
      <c r="AU204" s="36">
        <f>IF($B204="","",(15*(R204&lt;&gt;"")+15*(COUNTIF(T204:AE204,"Да")&gt;0)+15*AND(J204&lt;&gt;"",OR(L204&lt;&gt;"",M204&lt;&gt;""))+15*(AS204&gt;0)+10*(AT204&gt;0)+10*(COUNTIF(AM204:AR204,"Да")&gt;0)+10*IF(A204="Внешний вендор",D204&lt;&gt;"",E204&lt;&gt;"")+5*(I204&lt;&gt;"")+5*IF(A204="Внешний вендор",G204&lt;&gt;"",TRUE))/100)</f>
        <v/>
      </c>
      <c r="AV204" s="21" t="n"/>
      <c r="AW204" s="21" t="n"/>
    </row>
    <row r="205">
      <c r="A205" s="25" t="n"/>
      <c r="B205" s="25" t="n"/>
      <c r="C205" s="25" t="n"/>
      <c r="D205" s="3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5" t="n"/>
      <c r="AI205" s="25" t="n"/>
      <c r="AJ205" s="25" t="n"/>
      <c r="AK205" s="25" t="n"/>
      <c r="AL205" s="25" t="n"/>
      <c r="AM205" s="25" t="n"/>
      <c r="AN205" s="25" t="n"/>
      <c r="AO205" s="25" t="n"/>
      <c r="AP205" s="25" t="n"/>
      <c r="AQ205" s="25" t="n"/>
      <c r="AR205" s="25" t="n"/>
      <c r="AS205" s="22">
        <f>IF($B205="","",COUNTIF('Портфолио'!$A$5:$A$205,$B205))</f>
        <v/>
      </c>
      <c r="AT205" s="22">
        <f>IF($B205="","",COUNTIF('Решения'!$A$5:$A$205,$B205))</f>
        <v/>
      </c>
      <c r="AU205" s="36">
        <f>IF($B205="","",(15*(R205&lt;&gt;"")+15*(COUNTIF(T205:AE205,"Да")&gt;0)+15*AND(J205&lt;&gt;"",OR(L205&lt;&gt;"",M205&lt;&gt;""))+15*(AS205&gt;0)+10*(AT205&gt;0)+10*(COUNTIF(AM205:AR205,"Да")&gt;0)+10*IF(A205="Внешний вендор",D205&lt;&gt;"",E205&lt;&gt;"")+5*(I205&lt;&gt;"")+5*IF(A205="Внешний вендор",G205&lt;&gt;"",TRUE))/100)</f>
        <v/>
      </c>
      <c r="AV205" s="21" t="n"/>
      <c r="AW205" s="21" t="n"/>
    </row>
  </sheetData>
  <mergeCells count="11">
    <mergeCell ref="A1:AW1"/>
    <mergeCell ref="AM3:AR3"/>
    <mergeCell ref="AV3:AW3"/>
    <mergeCell ref="J3:N3"/>
    <mergeCell ref="AF3:AL3"/>
    <mergeCell ref="A3:I3"/>
    <mergeCell ref="A2:AW2"/>
    <mergeCell ref="R3:S3"/>
    <mergeCell ref="T3:AE3"/>
    <mergeCell ref="O3:Q3"/>
    <mergeCell ref="AS3:AU3"/>
  </mergeCells>
  <conditionalFormatting sqref="AU5:AU205">
    <cfRule type="cellIs" priority="1" operator="lessThan" dxfId="0">
      <formula>0.6</formula>
    </cfRule>
    <cfRule type="cellIs" priority="2" operator="greaterThanOrEqual" dxfId="1">
      <formula>0.8</formula>
    </cfRule>
  </conditionalFormatting>
  <dataValidations count="32">
    <dataValidation sqref="A6:A205" showDropDown="0" showInputMessage="0" showErrorMessage="1" allowBlank="0" errorTitle="Значение не из справочника" error="Выберите значение из выпадающего списка — справочник на листе «Справочники»." type="list">
      <formula1>'Справочники'!$A$5:$A$7</formula1>
    </dataValidation>
    <dataValidation sqref="O6:O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'Справочники'!$B$5:$B$10</formula1>
    </dataValidation>
    <dataValidation sqref="P6:P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'Справочники'!$C$5:$C$8</formula1>
    </dataValidation>
    <dataValidation sqref="Q6:Q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'Справочники'!$D$5:$D$7</formula1>
    </dataValidation>
    <dataValidation sqref="T6:T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U6:U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V6:V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W6:W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X6:X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Y6:Y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Z6:Z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A6:AA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B6:AB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C6:AC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D6:AD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E6:AE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F6:AF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G6:AG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H6:AH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I6:AI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J6:AJ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K6:AK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L6:AL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M6:AM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N6:AN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O6:AO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P6:AP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Q6:AQ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AR6:AR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D6:D205" showDropDown="0" showInputMessage="0" showErrorMessage="1" allowBlank="0" errorTitle="ИНН" error="10 цифр у организации или 12 у предпринимателя." type="custom">
      <formula1>OR(D6="",LEN(D6)=10,LEN(D6)=12)</formula1>
    </dataValidation>
    <dataValidation sqref="H6:H205" showDropDown="0" showInputMessage="0" showErrorMessage="1" allowBlank="1" error="Целое число от 1900 до 2100." type="whole" operator="between">
      <formula1>1900</formula1>
      <formula2>2100</formula2>
    </dataValidation>
    <dataValidation sqref="I6:I205" showDropDown="0" showInputMessage="0" showErrorMessage="1" allowBlank="1" error="Целое число от 1 до 100000." type="whole" operator="between">
      <formula1>1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8" customWidth="1" min="4" max="4"/>
    <col width="12" customWidth="1" min="5" max="5"/>
    <col width="40" customWidth="1" min="6" max="6"/>
    <col width="34" customWidth="1" min="7" max="7"/>
    <col width="22" customWidth="1" min="8" max="8"/>
    <col width="24" customWidth="1" min="9" max="9"/>
    <col width="16" customWidth="1" min="10" max="10"/>
    <col width="30" customWidth="1" min="11" max="11"/>
    <col width="16" customWidth="1" min="12" max="12"/>
  </cols>
  <sheetData>
    <row r="1" ht="26" customHeight="1">
      <c r="A1" s="29" t="inlineStr">
        <is>
          <t>Портфолио — выполненные проекты</t>
        </is>
      </c>
    </row>
    <row r="2" ht="30" customHeight="1">
      <c r="A2" s="12" t="inlineStr">
        <is>
          <t>Одна строка — один проект. Заполняет модератор или представитель разработчика. Строка 5 — пример.</t>
        </is>
      </c>
    </row>
    <row r="3" ht="22" customHeight="1">
      <c r="A3" s="28" t="inlineStr">
        <is>
          <t>Разработчик</t>
        </is>
      </c>
      <c r="B3" s="28" t="inlineStr">
        <is>
          <t>Проект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28" t="inlineStr">
        <is>
          <t>Обсуждение</t>
        </is>
      </c>
      <c r="L3" s="30" t="n"/>
    </row>
    <row r="4" ht="58" customHeight="1">
      <c r="A4" s="15" t="inlineStr">
        <is>
          <t>Разработчик *</t>
        </is>
      </c>
      <c r="B4" s="15" t="inlineStr">
        <is>
          <t>Название проекта *</t>
        </is>
      </c>
      <c r="C4" s="15" t="inlineStr">
        <is>
          <t>Заказчик</t>
        </is>
      </c>
      <c r="D4" s="15" t="inlineStr">
        <is>
          <t>Год</t>
        </is>
      </c>
      <c r="E4" s="15" t="inlineStr">
        <is>
          <t>Заказчик из госсектора</t>
        </is>
      </c>
      <c r="F4" s="15" t="inlineStr">
        <is>
          <t>Что сделано</t>
        </is>
      </c>
      <c r="G4" s="15" t="inlineStr">
        <is>
          <t>Результат (измеримый эффект)</t>
        </is>
      </c>
      <c r="H4" s="15" t="inlineStr">
        <is>
          <t>Технологии</t>
        </is>
      </c>
      <c r="I4" s="15" t="inlineStr">
        <is>
          <t>Ссылка на описание</t>
        </is>
      </c>
      <c r="J4" s="15" t="inlineStr">
        <is>
          <t>Кто внёс</t>
        </is>
      </c>
      <c r="K4" s="16" t="inlineStr">
        <is>
          <t>Комментарий</t>
        </is>
      </c>
      <c r="L4" s="16" t="inlineStr">
        <is>
          <t>Автор комментария</t>
        </is>
      </c>
    </row>
    <row r="5" ht="45" customHeight="1">
      <c r="A5" s="32" t="inlineStr">
        <is>
          <t>ООО «Нейросоциум» (пример)</t>
        </is>
      </c>
      <c r="B5" s="32" t="inlineStr">
        <is>
          <t>Виртуальный консультант по мерам социальной поддержки</t>
        </is>
      </c>
      <c r="C5" s="32" t="inlineStr">
        <is>
          <t>Региональный орган соцзащиты</t>
        </is>
      </c>
      <c r="D5" s="32" t="n">
        <v>2024</v>
      </c>
      <c r="E5" s="32" t="inlineStr">
        <is>
          <t>Да</t>
        </is>
      </c>
      <c r="F5" s="32" t="inlineStr">
        <is>
          <t>Ассистент отвечает на вопросы о пособиях и ведёт к подаче заявления.</t>
        </is>
      </c>
      <c r="G5" s="32" t="inlineStr">
        <is>
          <t>62% обращений без оператора, ответ — с 2 дней до минуты</t>
        </is>
      </c>
      <c r="H5" s="32" t="inlineStr">
        <is>
          <t>GigaChat, RAG</t>
        </is>
      </c>
      <c r="I5" s="32" t="inlineStr"/>
      <c r="J5" s="32" t="inlineStr">
        <is>
          <t>Модератор</t>
        </is>
      </c>
      <c r="K5" s="32" t="inlineStr"/>
      <c r="L5" s="32" t="inlineStr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1" t="n"/>
      <c r="L6" s="21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1" t="n"/>
      <c r="L7" s="21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1" t="n"/>
      <c r="L8" s="21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1" t="n"/>
      <c r="L9" s="21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1" t="n"/>
      <c r="L10" s="21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1" t="n"/>
      <c r="L11" s="21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1" t="n"/>
      <c r="L12" s="21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1" t="n"/>
      <c r="L13" s="21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1" t="n"/>
      <c r="L14" s="21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1" t="n"/>
      <c r="L15" s="21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1" t="n"/>
      <c r="L16" s="21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1" t="n"/>
      <c r="L17" s="21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1" t="n"/>
      <c r="L18" s="21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1" t="n"/>
      <c r="L19" s="21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1" t="n"/>
      <c r="L20" s="21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1" t="n"/>
      <c r="L21" s="21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1" t="n"/>
      <c r="L22" s="21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1" t="n"/>
      <c r="L23" s="21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1" t="n"/>
      <c r="L24" s="21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1" t="n"/>
      <c r="L25" s="21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1" t="n"/>
      <c r="L26" s="21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1" t="n"/>
      <c r="L27" s="21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1" t="n"/>
      <c r="L28" s="21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1" t="n"/>
      <c r="L29" s="21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1" t="n"/>
      <c r="L30" s="21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1" t="n"/>
      <c r="L31" s="21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1" t="n"/>
      <c r="L32" s="21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1" t="n"/>
      <c r="L33" s="21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1" t="n"/>
      <c r="L34" s="21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1" t="n"/>
      <c r="L35" s="21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1" t="n"/>
      <c r="L36" s="21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1" t="n"/>
      <c r="L37" s="21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1" t="n"/>
      <c r="L38" s="21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1" t="n"/>
      <c r="L39" s="21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1" t="n"/>
      <c r="L40" s="21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1" t="n"/>
      <c r="L41" s="21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1" t="n"/>
      <c r="L42" s="21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1" t="n"/>
      <c r="L43" s="21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1" t="n"/>
      <c r="L44" s="21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1" t="n"/>
      <c r="L45" s="21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1" t="n"/>
      <c r="L46" s="21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1" t="n"/>
      <c r="L47" s="21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1" t="n"/>
      <c r="L48" s="21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1" t="n"/>
      <c r="L49" s="21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1" t="n"/>
      <c r="L50" s="21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1" t="n"/>
      <c r="L51" s="21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1" t="n"/>
      <c r="L52" s="21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1" t="n"/>
      <c r="L53" s="21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1" t="n"/>
      <c r="L54" s="21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1" t="n"/>
      <c r="L55" s="21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1" t="n"/>
      <c r="L56" s="21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1" t="n"/>
      <c r="L57" s="21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1" t="n"/>
      <c r="L58" s="21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1" t="n"/>
      <c r="L59" s="21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1" t="n"/>
      <c r="L60" s="21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1" t="n"/>
      <c r="L61" s="21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1" t="n"/>
      <c r="L62" s="21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1" t="n"/>
      <c r="L63" s="21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1" t="n"/>
      <c r="L64" s="21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1" t="n"/>
      <c r="L65" s="21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1" t="n"/>
      <c r="L66" s="21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1" t="n"/>
      <c r="L67" s="21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1" t="n"/>
      <c r="L68" s="21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1" t="n"/>
      <c r="L69" s="21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1" t="n"/>
      <c r="L70" s="21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1" t="n"/>
      <c r="L71" s="21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1" t="n"/>
      <c r="L72" s="21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1" t="n"/>
      <c r="L73" s="21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1" t="n"/>
      <c r="L74" s="21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1" t="n"/>
      <c r="L75" s="21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1" t="n"/>
      <c r="L76" s="21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1" t="n"/>
      <c r="L77" s="21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1" t="n"/>
      <c r="L78" s="21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1" t="n"/>
      <c r="L79" s="21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1" t="n"/>
      <c r="L80" s="21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1" t="n"/>
      <c r="L81" s="21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1" t="n"/>
      <c r="L82" s="21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1" t="n"/>
      <c r="L83" s="21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1" t="n"/>
      <c r="L84" s="21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1" t="n"/>
      <c r="L85" s="21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1" t="n"/>
      <c r="L86" s="21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1" t="n"/>
      <c r="L87" s="21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1" t="n"/>
      <c r="L88" s="21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1" t="n"/>
      <c r="L89" s="21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1" t="n"/>
      <c r="L90" s="21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1" t="n"/>
      <c r="L91" s="21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1" t="n"/>
      <c r="L92" s="21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1" t="n"/>
      <c r="L93" s="21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1" t="n"/>
      <c r="L94" s="21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1" t="n"/>
      <c r="L95" s="21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1" t="n"/>
      <c r="L96" s="21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1" t="n"/>
      <c r="L97" s="21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1" t="n"/>
      <c r="L98" s="21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1" t="n"/>
      <c r="L99" s="21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1" t="n"/>
      <c r="L100" s="21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1" t="n"/>
      <c r="L101" s="21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1" t="n"/>
      <c r="L102" s="21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1" t="n"/>
      <c r="L103" s="21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1" t="n"/>
      <c r="L104" s="21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1" t="n"/>
      <c r="L105" s="21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1" t="n"/>
      <c r="L106" s="21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1" t="n"/>
      <c r="L107" s="21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1" t="n"/>
      <c r="L108" s="21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1" t="n"/>
      <c r="L109" s="21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1" t="n"/>
      <c r="L110" s="21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1" t="n"/>
      <c r="L111" s="21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1" t="n"/>
      <c r="L112" s="21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1" t="n"/>
      <c r="L113" s="21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1" t="n"/>
      <c r="L114" s="21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1" t="n"/>
      <c r="L115" s="21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1" t="n"/>
      <c r="L116" s="21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1" t="n"/>
      <c r="L117" s="21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1" t="n"/>
      <c r="L118" s="21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1" t="n"/>
      <c r="L119" s="21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1" t="n"/>
      <c r="L120" s="21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1" t="n"/>
      <c r="L121" s="21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1" t="n"/>
      <c r="L122" s="21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1" t="n"/>
      <c r="L123" s="21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1" t="n"/>
      <c r="L124" s="21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1" t="n"/>
      <c r="L125" s="21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1" t="n"/>
      <c r="L126" s="21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1" t="n"/>
      <c r="L127" s="21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1" t="n"/>
      <c r="L128" s="21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1" t="n"/>
      <c r="L129" s="21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1" t="n"/>
      <c r="L130" s="21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1" t="n"/>
      <c r="L131" s="21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1" t="n"/>
      <c r="L132" s="21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1" t="n"/>
      <c r="L133" s="21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1" t="n"/>
      <c r="L134" s="21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1" t="n"/>
      <c r="L135" s="21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1" t="n"/>
      <c r="L136" s="21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1" t="n"/>
      <c r="L137" s="21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1" t="n"/>
      <c r="L138" s="21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1" t="n"/>
      <c r="L139" s="21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1" t="n"/>
      <c r="L140" s="21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1" t="n"/>
      <c r="L141" s="21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1" t="n"/>
      <c r="L142" s="21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1" t="n"/>
      <c r="L143" s="21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1" t="n"/>
      <c r="L144" s="21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1" t="n"/>
      <c r="L145" s="21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1" t="n"/>
      <c r="L146" s="21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1" t="n"/>
      <c r="L147" s="21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1" t="n"/>
      <c r="L148" s="21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1" t="n"/>
      <c r="L149" s="21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1" t="n"/>
      <c r="L150" s="21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1" t="n"/>
      <c r="L151" s="21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1" t="n"/>
      <c r="L152" s="21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1" t="n"/>
      <c r="L153" s="21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1" t="n"/>
      <c r="L154" s="21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1" t="n"/>
      <c r="L155" s="21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1" t="n"/>
      <c r="L156" s="21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1" t="n"/>
      <c r="L157" s="21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1" t="n"/>
      <c r="L158" s="21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1" t="n"/>
      <c r="L159" s="21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1" t="n"/>
      <c r="L160" s="21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1" t="n"/>
      <c r="L161" s="21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1" t="n"/>
      <c r="L162" s="21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1" t="n"/>
      <c r="L163" s="21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1" t="n"/>
      <c r="L164" s="21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1" t="n"/>
      <c r="L165" s="21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1" t="n"/>
      <c r="L166" s="21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1" t="n"/>
      <c r="L167" s="21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1" t="n"/>
      <c r="L168" s="21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1" t="n"/>
      <c r="L169" s="21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1" t="n"/>
      <c r="L170" s="21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1" t="n"/>
      <c r="L171" s="21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1" t="n"/>
      <c r="L172" s="21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1" t="n"/>
      <c r="L173" s="21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1" t="n"/>
      <c r="L174" s="21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1" t="n"/>
      <c r="L175" s="21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1" t="n"/>
      <c r="L176" s="21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1" t="n"/>
      <c r="L177" s="21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1" t="n"/>
      <c r="L178" s="21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1" t="n"/>
      <c r="L179" s="21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1" t="n"/>
      <c r="L180" s="21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1" t="n"/>
      <c r="L181" s="21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1" t="n"/>
      <c r="L182" s="21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1" t="n"/>
      <c r="L183" s="21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1" t="n"/>
      <c r="L184" s="21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1" t="n"/>
      <c r="L185" s="21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1" t="n"/>
      <c r="L186" s="21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1" t="n"/>
      <c r="L187" s="21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1" t="n"/>
      <c r="L188" s="21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1" t="n"/>
      <c r="L189" s="21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1" t="n"/>
      <c r="L190" s="21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1" t="n"/>
      <c r="L191" s="21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1" t="n"/>
      <c r="L192" s="21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1" t="n"/>
      <c r="L193" s="21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1" t="n"/>
      <c r="L194" s="21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1" t="n"/>
      <c r="L195" s="21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1" t="n"/>
      <c r="L196" s="21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1" t="n"/>
      <c r="L197" s="21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1" t="n"/>
      <c r="L198" s="21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1" t="n"/>
      <c r="L199" s="21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1" t="n"/>
      <c r="L200" s="21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1" t="n"/>
      <c r="L201" s="21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1" t="n"/>
      <c r="L202" s="21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1" t="n"/>
      <c r="L203" s="21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1" t="n"/>
      <c r="L204" s="21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1" t="n"/>
      <c r="L205" s="21" t="n"/>
    </row>
  </sheetData>
  <mergeCells count="4">
    <mergeCell ref="A2:L2"/>
    <mergeCell ref="B3:J3"/>
    <mergeCell ref="A1:L1"/>
    <mergeCell ref="K3:L3"/>
  </mergeCells>
  <dataValidations count="4">
    <dataValidation sqref="A6:A205" showDropDown="0" showInputMessage="0" showErrorMessage="1" allowBlank="0" errorTitle="Нет такого разработчика" error="Сначала добавьте разработчика на лист «Разработчики»." type="list">
      <formula1>'Разработчики'!$B$5:$B$205</formula1>
    </dataValidation>
    <dataValidation sqref="E6:E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J6:J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'Справочники'!$M$5:$M$6</formula1>
    </dataValidation>
    <dataValidation sqref="D6:D205" showDropDown="0" showInputMessage="0" showErrorMessage="1" allowBlank="1" error="Год от 1990." type="whole" operator="between">
      <formula1>1990</formula1>
      <formula2>2100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18" customWidth="1" min="5" max="5"/>
    <col width="12" customWidth="1" min="6" max="6"/>
    <col width="40" customWidth="1" min="7" max="7"/>
    <col width="22" customWidth="1" min="8" max="8"/>
    <col width="24" customWidth="1" min="9" max="9"/>
    <col width="22" customWidth="1" min="10" max="10"/>
    <col width="16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30" customWidth="1" min="24" max="24"/>
    <col width="16" customWidth="1" min="25" max="25"/>
  </cols>
  <sheetData>
    <row r="1" ht="26" customHeight="1">
      <c r="A1" s="29" t="inlineStr">
        <is>
          <t>Решения и технологии разработчиков</t>
        </is>
      </c>
    </row>
    <row r="2" ht="30" customHeight="1">
      <c r="A2" s="12" t="inlineStr">
        <is>
          <t>Одна строка — одно решение. Решения видны пользователям каталога во вкладке «Решения и технологии». Строка 5 — пример.</t>
        </is>
      </c>
    </row>
    <row r="3" ht="22" customHeight="1">
      <c r="A3" s="28" t="inlineStr">
        <is>
          <t>Разработчик</t>
        </is>
      </c>
      <c r="B3" s="28" t="inlineStr">
        <is>
          <t>Решение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28" t="inlineStr">
        <is>
          <t>Какие задачи закрывает — отметьте «Да»</t>
        </is>
      </c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28" t="inlineStr">
        <is>
          <t>Обсуждение</t>
        </is>
      </c>
      <c r="Y3" s="30" t="n"/>
    </row>
    <row r="4" ht="58" customHeight="1">
      <c r="A4" s="15" t="inlineStr">
        <is>
          <t>Разработчик *</t>
        </is>
      </c>
      <c r="B4" s="15" t="inlineStr">
        <is>
          <t>Название решения *</t>
        </is>
      </c>
      <c r="C4" s="15" t="inlineStr">
        <is>
          <t>Тип *</t>
        </is>
      </c>
      <c r="D4" s="15" t="inlineStr">
        <is>
          <t>Зрелость *</t>
        </is>
      </c>
      <c r="E4" s="15" t="inlineStr">
        <is>
          <t>Лицензия</t>
        </is>
      </c>
      <c r="F4" s="15" t="inlineStr">
        <is>
          <t>В реестре отечественного ПО</t>
        </is>
      </c>
      <c r="G4" s="15" t="inlineStr">
        <is>
          <t>Описание: какую задачу решает</t>
        </is>
      </c>
      <c r="H4" s="15" t="inlineStr">
        <is>
          <t>Технологии</t>
        </is>
      </c>
      <c r="I4" s="15" t="inlineStr">
        <is>
          <t>Стоимость, условия</t>
        </is>
      </c>
      <c r="J4" s="15" t="inlineStr">
        <is>
          <t>Ссылка</t>
        </is>
      </c>
      <c r="K4" s="15" t="inlineStr">
        <is>
          <t>Кто внёс</t>
        </is>
      </c>
      <c r="L4" s="15" t="inlineStr">
        <is>
          <t>Языковые модели и ассистенты</t>
        </is>
      </c>
      <c r="M4" s="15" t="inlineStr">
        <is>
          <t>Поиск по документам (RAG)</t>
        </is>
      </c>
      <c r="N4" s="15" t="inlineStr">
        <is>
          <t>Обработка текстов</t>
        </is>
      </c>
      <c r="O4" s="15" t="inlineStr">
        <is>
          <t>Распознавание и синтез речи</t>
        </is>
      </c>
      <c r="P4" s="15" t="inlineStr">
        <is>
          <t>Компьютерное зрение</t>
        </is>
      </c>
      <c r="Q4" s="15" t="inlineStr">
        <is>
          <t>Распознавание документов</t>
        </is>
      </c>
      <c r="R4" s="15" t="inlineStr">
        <is>
          <t>Прогнозная аналитика</t>
        </is>
      </c>
      <c r="S4" s="15" t="inlineStr">
        <is>
          <t>Рекомендательные системы</t>
        </is>
      </c>
      <c r="T4" s="15" t="inlineStr">
        <is>
          <t>Чат-боты и голосовые помощники</t>
        </is>
      </c>
      <c r="U4" s="15" t="inlineStr">
        <is>
          <t>Роботизация процессов (RPA)</t>
        </is>
      </c>
      <c r="V4" s="15" t="inlineStr">
        <is>
          <t>Инженерия данных</t>
        </is>
      </c>
      <c r="W4" s="15" t="inlineStr">
        <is>
          <t>MLOps и инфраструктура ИИ</t>
        </is>
      </c>
      <c r="X4" s="16" t="inlineStr">
        <is>
          <t>Комментарий</t>
        </is>
      </c>
      <c r="Y4" s="16" t="inlineStr">
        <is>
          <t>Автор комментария</t>
        </is>
      </c>
    </row>
    <row r="5" ht="45" customHeight="1">
      <c r="A5" s="32" t="inlineStr">
        <is>
          <t>ООО «Нейросоциум» (пример)</t>
        </is>
      </c>
      <c r="B5" s="32" t="inlineStr">
        <is>
          <t>Социум.Ассистент</t>
        </is>
      </c>
      <c r="C5" s="32" t="inlineStr">
        <is>
          <t>Платформа</t>
        </is>
      </c>
      <c r="D5" s="32" t="inlineStr">
        <is>
          <t>Промышленная эксплуатация</t>
        </is>
      </c>
      <c r="E5" s="32" t="inlineStr">
        <is>
          <t>Проприетарная</t>
        </is>
      </c>
      <c r="F5" s="32" t="inlineStr">
        <is>
          <t>Да</t>
        </is>
      </c>
      <c r="G5" s="32" t="inlineStr">
        <is>
          <t>Платформа диалоговых ассистентов для граждан и сотрудников.</t>
        </is>
      </c>
      <c r="H5" s="32" t="inlineStr">
        <is>
          <t>GigaChat, YandexGPT</t>
        </is>
      </c>
      <c r="I5" s="32" t="inlineStr">
        <is>
          <t>Лицензия на инсталляцию плюс сопровождение</t>
        </is>
      </c>
      <c r="J5" s="32" t="inlineStr"/>
      <c r="K5" s="32" t="inlineStr">
        <is>
          <t>Представитель разработчика</t>
        </is>
      </c>
      <c r="L5" s="32" t="inlineStr">
        <is>
          <t>Да</t>
        </is>
      </c>
      <c r="M5" s="32" t="inlineStr">
        <is>
          <t>Да</t>
        </is>
      </c>
      <c r="N5" s="32" t="inlineStr"/>
      <c r="O5" s="32" t="inlineStr"/>
      <c r="P5" s="32" t="inlineStr"/>
      <c r="Q5" s="32" t="inlineStr"/>
      <c r="R5" s="32" t="inlineStr"/>
      <c r="S5" s="32" t="inlineStr"/>
      <c r="T5" s="32" t="inlineStr">
        <is>
          <t>Да</t>
        </is>
      </c>
      <c r="U5" s="32" t="inlineStr"/>
      <c r="V5" s="32" t="inlineStr"/>
      <c r="W5" s="32" t="inlineStr"/>
      <c r="X5" s="32" t="inlineStr"/>
      <c r="Y5" s="32" t="inlineStr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1" t="n"/>
      <c r="Y6" s="21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1" t="n"/>
      <c r="Y7" s="21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1" t="n"/>
      <c r="Y8" s="21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1" t="n"/>
      <c r="Y9" s="21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1" t="n"/>
      <c r="Y10" s="21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1" t="n"/>
      <c r="Y11" s="21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1" t="n"/>
      <c r="Y12" s="21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1" t="n"/>
      <c r="Y13" s="21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1" t="n"/>
      <c r="Y14" s="21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1" t="n"/>
      <c r="Y15" s="21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1" t="n"/>
      <c r="Y16" s="21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1" t="n"/>
      <c r="Y17" s="21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1" t="n"/>
      <c r="Y18" s="21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1" t="n"/>
      <c r="Y19" s="21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1" t="n"/>
      <c r="Y20" s="21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1" t="n"/>
      <c r="Y21" s="21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1" t="n"/>
      <c r="Y22" s="21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1" t="n"/>
      <c r="Y23" s="21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1" t="n"/>
      <c r="Y24" s="21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1" t="n"/>
      <c r="Y25" s="21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1" t="n"/>
      <c r="Y26" s="21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1" t="n"/>
      <c r="Y27" s="21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1" t="n"/>
      <c r="Y28" s="21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1" t="n"/>
      <c r="Y29" s="21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1" t="n"/>
      <c r="Y30" s="21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1" t="n"/>
      <c r="Y31" s="21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1" t="n"/>
      <c r="Y32" s="21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1" t="n"/>
      <c r="Y33" s="21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1" t="n"/>
      <c r="Y34" s="21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1" t="n"/>
      <c r="Y35" s="21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1" t="n"/>
      <c r="Y36" s="21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1" t="n"/>
      <c r="Y37" s="21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1" t="n"/>
      <c r="Y38" s="21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1" t="n"/>
      <c r="Y39" s="21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1" t="n"/>
      <c r="Y40" s="21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1" t="n"/>
      <c r="Y41" s="21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1" t="n"/>
      <c r="Y42" s="21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1" t="n"/>
      <c r="Y43" s="21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1" t="n"/>
      <c r="Y44" s="21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1" t="n"/>
      <c r="Y45" s="21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1" t="n"/>
      <c r="Y46" s="21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1" t="n"/>
      <c r="Y47" s="21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1" t="n"/>
      <c r="Y48" s="21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1" t="n"/>
      <c r="Y49" s="21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1" t="n"/>
      <c r="Y50" s="21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1" t="n"/>
      <c r="Y51" s="21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1" t="n"/>
      <c r="Y52" s="21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1" t="n"/>
      <c r="Y53" s="21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1" t="n"/>
      <c r="Y54" s="21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1" t="n"/>
      <c r="Y55" s="21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1" t="n"/>
      <c r="Y56" s="21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1" t="n"/>
      <c r="Y57" s="21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1" t="n"/>
      <c r="Y58" s="21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1" t="n"/>
      <c r="Y59" s="21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1" t="n"/>
      <c r="Y60" s="21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1" t="n"/>
      <c r="Y61" s="21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1" t="n"/>
      <c r="Y62" s="21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1" t="n"/>
      <c r="Y63" s="21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1" t="n"/>
      <c r="Y64" s="21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1" t="n"/>
      <c r="Y65" s="21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1" t="n"/>
      <c r="Y66" s="21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1" t="n"/>
      <c r="Y67" s="21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1" t="n"/>
      <c r="Y68" s="21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1" t="n"/>
      <c r="Y69" s="21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1" t="n"/>
      <c r="Y70" s="21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1" t="n"/>
      <c r="Y71" s="21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1" t="n"/>
      <c r="Y72" s="21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1" t="n"/>
      <c r="Y73" s="21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1" t="n"/>
      <c r="Y74" s="21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1" t="n"/>
      <c r="Y75" s="21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1" t="n"/>
      <c r="Y76" s="21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1" t="n"/>
      <c r="Y77" s="21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1" t="n"/>
      <c r="Y78" s="21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1" t="n"/>
      <c r="Y79" s="21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1" t="n"/>
      <c r="Y80" s="21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1" t="n"/>
      <c r="Y81" s="21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1" t="n"/>
      <c r="Y82" s="21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1" t="n"/>
      <c r="Y83" s="21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1" t="n"/>
      <c r="Y84" s="21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1" t="n"/>
      <c r="Y85" s="21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1" t="n"/>
      <c r="Y86" s="21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1" t="n"/>
      <c r="Y87" s="21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1" t="n"/>
      <c r="Y88" s="21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1" t="n"/>
      <c r="Y89" s="21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1" t="n"/>
      <c r="Y90" s="21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1" t="n"/>
      <c r="Y91" s="21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1" t="n"/>
      <c r="Y92" s="21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1" t="n"/>
      <c r="Y93" s="21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1" t="n"/>
      <c r="Y94" s="21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1" t="n"/>
      <c r="Y95" s="21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1" t="n"/>
      <c r="Y96" s="21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1" t="n"/>
      <c r="Y97" s="21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1" t="n"/>
      <c r="Y98" s="21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1" t="n"/>
      <c r="Y99" s="21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1" t="n"/>
      <c r="Y100" s="21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1" t="n"/>
      <c r="Y101" s="21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1" t="n"/>
      <c r="Y102" s="21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1" t="n"/>
      <c r="Y103" s="21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1" t="n"/>
      <c r="Y104" s="21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1" t="n"/>
      <c r="Y105" s="21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1" t="n"/>
      <c r="Y106" s="21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1" t="n"/>
      <c r="Y107" s="21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1" t="n"/>
      <c r="Y108" s="21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1" t="n"/>
      <c r="Y109" s="21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1" t="n"/>
      <c r="Y110" s="21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1" t="n"/>
      <c r="Y111" s="21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1" t="n"/>
      <c r="Y112" s="21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1" t="n"/>
      <c r="Y113" s="21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1" t="n"/>
      <c r="Y114" s="21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1" t="n"/>
      <c r="Y115" s="21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1" t="n"/>
      <c r="Y116" s="21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1" t="n"/>
      <c r="Y117" s="21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1" t="n"/>
      <c r="Y118" s="21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1" t="n"/>
      <c r="Y119" s="21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1" t="n"/>
      <c r="Y120" s="21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1" t="n"/>
      <c r="Y121" s="21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1" t="n"/>
      <c r="Y122" s="21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1" t="n"/>
      <c r="Y123" s="21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1" t="n"/>
      <c r="Y124" s="21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1" t="n"/>
      <c r="Y125" s="21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1" t="n"/>
      <c r="Y126" s="21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1" t="n"/>
      <c r="Y127" s="21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1" t="n"/>
      <c r="Y128" s="21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1" t="n"/>
      <c r="Y129" s="21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1" t="n"/>
      <c r="Y130" s="21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1" t="n"/>
      <c r="Y131" s="21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1" t="n"/>
      <c r="Y132" s="21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1" t="n"/>
      <c r="Y133" s="21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1" t="n"/>
      <c r="Y134" s="21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1" t="n"/>
      <c r="Y135" s="21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1" t="n"/>
      <c r="Y136" s="21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1" t="n"/>
      <c r="Y137" s="21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1" t="n"/>
      <c r="Y138" s="21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1" t="n"/>
      <c r="Y139" s="21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1" t="n"/>
      <c r="Y140" s="21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1" t="n"/>
      <c r="Y141" s="21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1" t="n"/>
      <c r="Y142" s="21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1" t="n"/>
      <c r="Y143" s="21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1" t="n"/>
      <c r="Y144" s="21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1" t="n"/>
      <c r="Y145" s="21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1" t="n"/>
      <c r="Y146" s="21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1" t="n"/>
      <c r="Y147" s="21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1" t="n"/>
      <c r="Y148" s="21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1" t="n"/>
      <c r="Y149" s="21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1" t="n"/>
      <c r="Y150" s="21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1" t="n"/>
      <c r="Y151" s="21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1" t="n"/>
      <c r="Y152" s="21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1" t="n"/>
      <c r="Y153" s="21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1" t="n"/>
      <c r="Y154" s="21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1" t="n"/>
      <c r="Y155" s="21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1" t="n"/>
      <c r="Y156" s="21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1" t="n"/>
      <c r="Y157" s="21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1" t="n"/>
      <c r="Y158" s="21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1" t="n"/>
      <c r="Y159" s="21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1" t="n"/>
      <c r="Y160" s="21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1" t="n"/>
      <c r="Y161" s="21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1" t="n"/>
      <c r="Y162" s="21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1" t="n"/>
      <c r="Y163" s="21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1" t="n"/>
      <c r="Y164" s="21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1" t="n"/>
      <c r="Y165" s="21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1" t="n"/>
      <c r="Y166" s="21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1" t="n"/>
      <c r="Y167" s="21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1" t="n"/>
      <c r="Y168" s="21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1" t="n"/>
      <c r="Y169" s="21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1" t="n"/>
      <c r="Y170" s="21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1" t="n"/>
      <c r="Y171" s="21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1" t="n"/>
      <c r="Y172" s="21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1" t="n"/>
      <c r="Y173" s="21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1" t="n"/>
      <c r="Y174" s="21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1" t="n"/>
      <c r="Y175" s="21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1" t="n"/>
      <c r="Y176" s="21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1" t="n"/>
      <c r="Y177" s="21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1" t="n"/>
      <c r="Y178" s="21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1" t="n"/>
      <c r="Y179" s="21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1" t="n"/>
      <c r="Y180" s="21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1" t="n"/>
      <c r="Y181" s="21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1" t="n"/>
      <c r="Y182" s="21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1" t="n"/>
      <c r="Y183" s="21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1" t="n"/>
      <c r="Y184" s="21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1" t="n"/>
      <c r="Y185" s="21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1" t="n"/>
      <c r="Y186" s="21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1" t="n"/>
      <c r="Y187" s="21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1" t="n"/>
      <c r="Y188" s="21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1" t="n"/>
      <c r="Y189" s="21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1" t="n"/>
      <c r="Y190" s="21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1" t="n"/>
      <c r="Y191" s="21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1" t="n"/>
      <c r="Y192" s="21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1" t="n"/>
      <c r="Y193" s="21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1" t="n"/>
      <c r="Y194" s="21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1" t="n"/>
      <c r="Y195" s="21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1" t="n"/>
      <c r="Y196" s="21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1" t="n"/>
      <c r="Y197" s="21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1" t="n"/>
      <c r="Y198" s="21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1" t="n"/>
      <c r="Y199" s="21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1" t="n"/>
      <c r="Y200" s="21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1" t="n"/>
      <c r="Y201" s="21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1" t="n"/>
      <c r="Y202" s="21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1" t="n"/>
      <c r="Y203" s="21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1" t="n"/>
      <c r="Y204" s="21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1" t="n"/>
      <c r="Y205" s="21" t="n"/>
    </row>
  </sheetData>
  <mergeCells count="5">
    <mergeCell ref="A2:Y2"/>
    <mergeCell ref="A1:Y1"/>
    <mergeCell ref="X3:Y3"/>
    <mergeCell ref="B3:K3"/>
    <mergeCell ref="L3:W3"/>
  </mergeCells>
  <dataValidations count="18">
    <dataValidation sqref="A6:A205" showDropDown="0" showInputMessage="0" showErrorMessage="1" allowBlank="0" errorTitle="Нет такого разработчика" error="Сначала добавьте разработчика на лист «Разработчики»." type="list">
      <formula1>'Разработчики'!$B$5:$B$205</formula1>
    </dataValidation>
    <dataValidation sqref="C6:C205" showDropDown="0" showInputMessage="0" showErrorMessage="1" allowBlank="0" errorTitle="Значение не из справочника" error="Выберите значение из выпадающего списка — справочник на листе «Справочники»." type="list">
      <formula1>'Справочники'!$H$5:$H$9</formula1>
    </dataValidation>
    <dataValidation sqref="D6:D205" showDropDown="0" showInputMessage="0" showErrorMessage="1" allowBlank="0" errorTitle="Значение не из справочника" error="Выберите значение из выпадающего списка — справочник на листе «Справочники»." type="list">
      <formula1>'Справочники'!$I$5:$I$7</formula1>
    </dataValidation>
    <dataValidation sqref="E6:E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'Справочники'!$J$5:$J$7</formula1>
    </dataValidation>
    <dataValidation sqref="F6:F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K6:K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'Справочники'!$M$5:$M$6</formula1>
    </dataValidation>
    <dataValidation sqref="L6:L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M6:M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N6:N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O6:O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P6:P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Q6:Q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R6:R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S6:S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T6:T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U6:U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V6:V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  <dataValidation sqref="W6:W205" showDropDown="0" showInputMessage="0" showErrorMessage="1" allowBlank="1" errorTitle="Значение не из справочника" error="Выберите значение из выпадающего списка — справочник на листе «Справочники»." type="list">
      <formula1>'Справочники'!$N$5:$N$6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50" customWidth="1" min="4" max="4"/>
    <col width="20" customWidth="1" min="5" max="5"/>
    <col width="30" customWidth="1" min="6" max="6"/>
    <col width="16" customWidth="1" min="7" max="7"/>
  </cols>
  <sheetData>
    <row r="1" ht="26" customHeight="1">
      <c r="A1" s="29" t="inlineStr">
        <is>
          <t>Журнал взаимодействий</t>
        </is>
      </c>
    </row>
    <row r="2" ht="30" customHeight="1">
      <c r="A2" s="12" t="inlineStr">
        <is>
          <t>Одна строка — одна встреча, звонок, письмо, запрос или демонстрация. Ведёт модератор каталога. Строка 5 — пример.</t>
        </is>
      </c>
    </row>
    <row r="3" ht="22" customHeight="1">
      <c r="A3" s="28" t="inlineStr">
        <is>
          <t>Разработчик</t>
        </is>
      </c>
      <c r="B3" s="28" t="inlineStr">
        <is>
          <t>Запись</t>
        </is>
      </c>
      <c r="C3" s="30" t="n"/>
      <c r="D3" s="30" t="n"/>
      <c r="E3" s="30" t="n"/>
      <c r="F3" s="28" t="inlineStr">
        <is>
          <t>Обсуждение</t>
        </is>
      </c>
      <c r="G3" s="30" t="n"/>
    </row>
    <row r="4" ht="58" customHeight="1">
      <c r="A4" s="15" t="inlineStr">
        <is>
          <t>Разработчик *</t>
        </is>
      </c>
      <c r="B4" s="15" t="inlineStr">
        <is>
          <t>Дата *</t>
        </is>
      </c>
      <c r="C4" s="15" t="inlineStr">
        <is>
          <t>Вид записи *</t>
        </is>
      </c>
      <c r="D4" s="15" t="inlineStr">
        <is>
          <t>Содержание: о чём договорились *</t>
        </is>
      </c>
      <c r="E4" s="15" t="inlineStr">
        <is>
          <t>Автор записи</t>
        </is>
      </c>
      <c r="F4" s="16" t="inlineStr">
        <is>
          <t>Комментарий</t>
        </is>
      </c>
      <c r="G4" s="16" t="inlineStr">
        <is>
          <t>Автор комментария</t>
        </is>
      </c>
    </row>
    <row r="5" ht="45" customHeight="1">
      <c r="A5" s="32" t="inlineStr">
        <is>
          <t>ООО «Нейросоциум» (пример)</t>
        </is>
      </c>
      <c r="B5" s="37" t="n">
        <v>46280</v>
      </c>
      <c r="C5" s="32" t="inlineStr">
        <is>
          <t>Демонстрация</t>
        </is>
      </c>
      <c r="D5" s="32" t="inlineStr">
        <is>
          <t>Показали консультанта на реальных вопросах о пособиях. Договорились о пилоте.</t>
        </is>
      </c>
      <c r="E5" s="32" t="inlineStr">
        <is>
          <t>Ковалёв А. В.</t>
        </is>
      </c>
      <c r="F5" s="32" t="inlineStr"/>
      <c r="G5" s="32" t="inlineStr"/>
    </row>
    <row r="6">
      <c r="A6" s="25" t="n"/>
      <c r="B6" s="38" t="n"/>
      <c r="C6" s="25" t="n"/>
      <c r="D6" s="25" t="n"/>
      <c r="E6" s="25" t="n"/>
      <c r="F6" s="21" t="n"/>
      <c r="G6" s="21" t="n"/>
    </row>
    <row r="7">
      <c r="A7" s="25" t="n"/>
      <c r="B7" s="38" t="n"/>
      <c r="C7" s="25" t="n"/>
      <c r="D7" s="25" t="n"/>
      <c r="E7" s="25" t="n"/>
      <c r="F7" s="21" t="n"/>
      <c r="G7" s="21" t="n"/>
    </row>
    <row r="8">
      <c r="A8" s="25" t="n"/>
      <c r="B8" s="38" t="n"/>
      <c r="C8" s="25" t="n"/>
      <c r="D8" s="25" t="n"/>
      <c r="E8" s="25" t="n"/>
      <c r="F8" s="21" t="n"/>
      <c r="G8" s="21" t="n"/>
    </row>
    <row r="9">
      <c r="A9" s="25" t="n"/>
      <c r="B9" s="38" t="n"/>
      <c r="C9" s="25" t="n"/>
      <c r="D9" s="25" t="n"/>
      <c r="E9" s="25" t="n"/>
      <c r="F9" s="21" t="n"/>
      <c r="G9" s="21" t="n"/>
    </row>
    <row r="10">
      <c r="A10" s="25" t="n"/>
      <c r="B10" s="38" t="n"/>
      <c r="C10" s="25" t="n"/>
      <c r="D10" s="25" t="n"/>
      <c r="E10" s="25" t="n"/>
      <c r="F10" s="21" t="n"/>
      <c r="G10" s="21" t="n"/>
    </row>
    <row r="11">
      <c r="A11" s="25" t="n"/>
      <c r="B11" s="38" t="n"/>
      <c r="C11" s="25" t="n"/>
      <c r="D11" s="25" t="n"/>
      <c r="E11" s="25" t="n"/>
      <c r="F11" s="21" t="n"/>
      <c r="G11" s="21" t="n"/>
    </row>
    <row r="12">
      <c r="A12" s="25" t="n"/>
      <c r="B12" s="38" t="n"/>
      <c r="C12" s="25" t="n"/>
      <c r="D12" s="25" t="n"/>
      <c r="E12" s="25" t="n"/>
      <c r="F12" s="21" t="n"/>
      <c r="G12" s="21" t="n"/>
    </row>
    <row r="13">
      <c r="A13" s="25" t="n"/>
      <c r="B13" s="38" t="n"/>
      <c r="C13" s="25" t="n"/>
      <c r="D13" s="25" t="n"/>
      <c r="E13" s="25" t="n"/>
      <c r="F13" s="21" t="n"/>
      <c r="G13" s="21" t="n"/>
    </row>
    <row r="14">
      <c r="A14" s="25" t="n"/>
      <c r="B14" s="38" t="n"/>
      <c r="C14" s="25" t="n"/>
      <c r="D14" s="25" t="n"/>
      <c r="E14" s="25" t="n"/>
      <c r="F14" s="21" t="n"/>
      <c r="G14" s="21" t="n"/>
    </row>
    <row r="15">
      <c r="A15" s="25" t="n"/>
      <c r="B15" s="38" t="n"/>
      <c r="C15" s="25" t="n"/>
      <c r="D15" s="25" t="n"/>
      <c r="E15" s="25" t="n"/>
      <c r="F15" s="21" t="n"/>
      <c r="G15" s="21" t="n"/>
    </row>
    <row r="16">
      <c r="A16" s="25" t="n"/>
      <c r="B16" s="38" t="n"/>
      <c r="C16" s="25" t="n"/>
      <c r="D16" s="25" t="n"/>
      <c r="E16" s="25" t="n"/>
      <c r="F16" s="21" t="n"/>
      <c r="G16" s="21" t="n"/>
    </row>
    <row r="17">
      <c r="A17" s="25" t="n"/>
      <c r="B17" s="38" t="n"/>
      <c r="C17" s="25" t="n"/>
      <c r="D17" s="25" t="n"/>
      <c r="E17" s="25" t="n"/>
      <c r="F17" s="21" t="n"/>
      <c r="G17" s="21" t="n"/>
    </row>
    <row r="18">
      <c r="A18" s="25" t="n"/>
      <c r="B18" s="38" t="n"/>
      <c r="C18" s="25" t="n"/>
      <c r="D18" s="25" t="n"/>
      <c r="E18" s="25" t="n"/>
      <c r="F18" s="21" t="n"/>
      <c r="G18" s="21" t="n"/>
    </row>
    <row r="19">
      <c r="A19" s="25" t="n"/>
      <c r="B19" s="38" t="n"/>
      <c r="C19" s="25" t="n"/>
      <c r="D19" s="25" t="n"/>
      <c r="E19" s="25" t="n"/>
      <c r="F19" s="21" t="n"/>
      <c r="G19" s="21" t="n"/>
    </row>
    <row r="20">
      <c r="A20" s="25" t="n"/>
      <c r="B20" s="38" t="n"/>
      <c r="C20" s="25" t="n"/>
      <c r="D20" s="25" t="n"/>
      <c r="E20" s="25" t="n"/>
      <c r="F20" s="21" t="n"/>
      <c r="G20" s="21" t="n"/>
    </row>
    <row r="21">
      <c r="A21" s="25" t="n"/>
      <c r="B21" s="38" t="n"/>
      <c r="C21" s="25" t="n"/>
      <c r="D21" s="25" t="n"/>
      <c r="E21" s="25" t="n"/>
      <c r="F21" s="21" t="n"/>
      <c r="G21" s="21" t="n"/>
    </row>
    <row r="22">
      <c r="A22" s="25" t="n"/>
      <c r="B22" s="38" t="n"/>
      <c r="C22" s="25" t="n"/>
      <c r="D22" s="25" t="n"/>
      <c r="E22" s="25" t="n"/>
      <c r="F22" s="21" t="n"/>
      <c r="G22" s="21" t="n"/>
    </row>
    <row r="23">
      <c r="A23" s="25" t="n"/>
      <c r="B23" s="38" t="n"/>
      <c r="C23" s="25" t="n"/>
      <c r="D23" s="25" t="n"/>
      <c r="E23" s="25" t="n"/>
      <c r="F23" s="21" t="n"/>
      <c r="G23" s="21" t="n"/>
    </row>
    <row r="24">
      <c r="A24" s="25" t="n"/>
      <c r="B24" s="38" t="n"/>
      <c r="C24" s="25" t="n"/>
      <c r="D24" s="25" t="n"/>
      <c r="E24" s="25" t="n"/>
      <c r="F24" s="21" t="n"/>
      <c r="G24" s="21" t="n"/>
    </row>
    <row r="25">
      <c r="A25" s="25" t="n"/>
      <c r="B25" s="38" t="n"/>
      <c r="C25" s="25" t="n"/>
      <c r="D25" s="25" t="n"/>
      <c r="E25" s="25" t="n"/>
      <c r="F25" s="21" t="n"/>
      <c r="G25" s="21" t="n"/>
    </row>
    <row r="26">
      <c r="A26" s="25" t="n"/>
      <c r="B26" s="38" t="n"/>
      <c r="C26" s="25" t="n"/>
      <c r="D26" s="25" t="n"/>
      <c r="E26" s="25" t="n"/>
      <c r="F26" s="21" t="n"/>
      <c r="G26" s="21" t="n"/>
    </row>
    <row r="27">
      <c r="A27" s="25" t="n"/>
      <c r="B27" s="38" t="n"/>
      <c r="C27" s="25" t="n"/>
      <c r="D27" s="25" t="n"/>
      <c r="E27" s="25" t="n"/>
      <c r="F27" s="21" t="n"/>
      <c r="G27" s="21" t="n"/>
    </row>
    <row r="28">
      <c r="A28" s="25" t="n"/>
      <c r="B28" s="38" t="n"/>
      <c r="C28" s="25" t="n"/>
      <c r="D28" s="25" t="n"/>
      <c r="E28" s="25" t="n"/>
      <c r="F28" s="21" t="n"/>
      <c r="G28" s="21" t="n"/>
    </row>
    <row r="29">
      <c r="A29" s="25" t="n"/>
      <c r="B29" s="38" t="n"/>
      <c r="C29" s="25" t="n"/>
      <c r="D29" s="25" t="n"/>
      <c r="E29" s="25" t="n"/>
      <c r="F29" s="21" t="n"/>
      <c r="G29" s="21" t="n"/>
    </row>
    <row r="30">
      <c r="A30" s="25" t="n"/>
      <c r="B30" s="38" t="n"/>
      <c r="C30" s="25" t="n"/>
      <c r="D30" s="25" t="n"/>
      <c r="E30" s="25" t="n"/>
      <c r="F30" s="21" t="n"/>
      <c r="G30" s="21" t="n"/>
    </row>
    <row r="31">
      <c r="A31" s="25" t="n"/>
      <c r="B31" s="38" t="n"/>
      <c r="C31" s="25" t="n"/>
      <c r="D31" s="25" t="n"/>
      <c r="E31" s="25" t="n"/>
      <c r="F31" s="21" t="n"/>
      <c r="G31" s="21" t="n"/>
    </row>
    <row r="32">
      <c r="A32" s="25" t="n"/>
      <c r="B32" s="38" t="n"/>
      <c r="C32" s="25" t="n"/>
      <c r="D32" s="25" t="n"/>
      <c r="E32" s="25" t="n"/>
      <c r="F32" s="21" t="n"/>
      <c r="G32" s="21" t="n"/>
    </row>
    <row r="33">
      <c r="A33" s="25" t="n"/>
      <c r="B33" s="38" t="n"/>
      <c r="C33" s="25" t="n"/>
      <c r="D33" s="25" t="n"/>
      <c r="E33" s="25" t="n"/>
      <c r="F33" s="21" t="n"/>
      <c r="G33" s="21" t="n"/>
    </row>
    <row r="34">
      <c r="A34" s="25" t="n"/>
      <c r="B34" s="38" t="n"/>
      <c r="C34" s="25" t="n"/>
      <c r="D34" s="25" t="n"/>
      <c r="E34" s="25" t="n"/>
      <c r="F34" s="21" t="n"/>
      <c r="G34" s="21" t="n"/>
    </row>
    <row r="35">
      <c r="A35" s="25" t="n"/>
      <c r="B35" s="38" t="n"/>
      <c r="C35" s="25" t="n"/>
      <c r="D35" s="25" t="n"/>
      <c r="E35" s="25" t="n"/>
      <c r="F35" s="21" t="n"/>
      <c r="G35" s="21" t="n"/>
    </row>
    <row r="36">
      <c r="A36" s="25" t="n"/>
      <c r="B36" s="38" t="n"/>
      <c r="C36" s="25" t="n"/>
      <c r="D36" s="25" t="n"/>
      <c r="E36" s="25" t="n"/>
      <c r="F36" s="21" t="n"/>
      <c r="G36" s="21" t="n"/>
    </row>
    <row r="37">
      <c r="A37" s="25" t="n"/>
      <c r="B37" s="38" t="n"/>
      <c r="C37" s="25" t="n"/>
      <c r="D37" s="25" t="n"/>
      <c r="E37" s="25" t="n"/>
      <c r="F37" s="21" t="n"/>
      <c r="G37" s="21" t="n"/>
    </row>
    <row r="38">
      <c r="A38" s="25" t="n"/>
      <c r="B38" s="38" t="n"/>
      <c r="C38" s="25" t="n"/>
      <c r="D38" s="25" t="n"/>
      <c r="E38" s="25" t="n"/>
      <c r="F38" s="21" t="n"/>
      <c r="G38" s="21" t="n"/>
    </row>
    <row r="39">
      <c r="A39" s="25" t="n"/>
      <c r="B39" s="38" t="n"/>
      <c r="C39" s="25" t="n"/>
      <c r="D39" s="25" t="n"/>
      <c r="E39" s="25" t="n"/>
      <c r="F39" s="21" t="n"/>
      <c r="G39" s="21" t="n"/>
    </row>
    <row r="40">
      <c r="A40" s="25" t="n"/>
      <c r="B40" s="38" t="n"/>
      <c r="C40" s="25" t="n"/>
      <c r="D40" s="25" t="n"/>
      <c r="E40" s="25" t="n"/>
      <c r="F40" s="21" t="n"/>
      <c r="G40" s="21" t="n"/>
    </row>
    <row r="41">
      <c r="A41" s="25" t="n"/>
      <c r="B41" s="38" t="n"/>
      <c r="C41" s="25" t="n"/>
      <c r="D41" s="25" t="n"/>
      <c r="E41" s="25" t="n"/>
      <c r="F41" s="21" t="n"/>
      <c r="G41" s="21" t="n"/>
    </row>
    <row r="42">
      <c r="A42" s="25" t="n"/>
      <c r="B42" s="38" t="n"/>
      <c r="C42" s="25" t="n"/>
      <c r="D42" s="25" t="n"/>
      <c r="E42" s="25" t="n"/>
      <c r="F42" s="21" t="n"/>
      <c r="G42" s="21" t="n"/>
    </row>
    <row r="43">
      <c r="A43" s="25" t="n"/>
      <c r="B43" s="38" t="n"/>
      <c r="C43" s="25" t="n"/>
      <c r="D43" s="25" t="n"/>
      <c r="E43" s="25" t="n"/>
      <c r="F43" s="21" t="n"/>
      <c r="G43" s="21" t="n"/>
    </row>
    <row r="44">
      <c r="A44" s="25" t="n"/>
      <c r="B44" s="38" t="n"/>
      <c r="C44" s="25" t="n"/>
      <c r="D44" s="25" t="n"/>
      <c r="E44" s="25" t="n"/>
      <c r="F44" s="21" t="n"/>
      <c r="G44" s="21" t="n"/>
    </row>
    <row r="45">
      <c r="A45" s="25" t="n"/>
      <c r="B45" s="38" t="n"/>
      <c r="C45" s="25" t="n"/>
      <c r="D45" s="25" t="n"/>
      <c r="E45" s="25" t="n"/>
      <c r="F45" s="21" t="n"/>
      <c r="G45" s="21" t="n"/>
    </row>
    <row r="46">
      <c r="A46" s="25" t="n"/>
      <c r="B46" s="38" t="n"/>
      <c r="C46" s="25" t="n"/>
      <c r="D46" s="25" t="n"/>
      <c r="E46" s="25" t="n"/>
      <c r="F46" s="21" t="n"/>
      <c r="G46" s="21" t="n"/>
    </row>
    <row r="47">
      <c r="A47" s="25" t="n"/>
      <c r="B47" s="38" t="n"/>
      <c r="C47" s="25" t="n"/>
      <c r="D47" s="25" t="n"/>
      <c r="E47" s="25" t="n"/>
      <c r="F47" s="21" t="n"/>
      <c r="G47" s="21" t="n"/>
    </row>
    <row r="48">
      <c r="A48" s="25" t="n"/>
      <c r="B48" s="38" t="n"/>
      <c r="C48" s="25" t="n"/>
      <c r="D48" s="25" t="n"/>
      <c r="E48" s="25" t="n"/>
      <c r="F48" s="21" t="n"/>
      <c r="G48" s="21" t="n"/>
    </row>
    <row r="49">
      <c r="A49" s="25" t="n"/>
      <c r="B49" s="38" t="n"/>
      <c r="C49" s="25" t="n"/>
      <c r="D49" s="25" t="n"/>
      <c r="E49" s="25" t="n"/>
      <c r="F49" s="21" t="n"/>
      <c r="G49" s="21" t="n"/>
    </row>
    <row r="50">
      <c r="A50" s="25" t="n"/>
      <c r="B50" s="38" t="n"/>
      <c r="C50" s="25" t="n"/>
      <c r="D50" s="25" t="n"/>
      <c r="E50" s="25" t="n"/>
      <c r="F50" s="21" t="n"/>
      <c r="G50" s="21" t="n"/>
    </row>
    <row r="51">
      <c r="A51" s="25" t="n"/>
      <c r="B51" s="38" t="n"/>
      <c r="C51" s="25" t="n"/>
      <c r="D51" s="25" t="n"/>
      <c r="E51" s="25" t="n"/>
      <c r="F51" s="21" t="n"/>
      <c r="G51" s="21" t="n"/>
    </row>
    <row r="52">
      <c r="A52" s="25" t="n"/>
      <c r="B52" s="38" t="n"/>
      <c r="C52" s="25" t="n"/>
      <c r="D52" s="25" t="n"/>
      <c r="E52" s="25" t="n"/>
      <c r="F52" s="21" t="n"/>
      <c r="G52" s="21" t="n"/>
    </row>
    <row r="53">
      <c r="A53" s="25" t="n"/>
      <c r="B53" s="38" t="n"/>
      <c r="C53" s="25" t="n"/>
      <c r="D53" s="25" t="n"/>
      <c r="E53" s="25" t="n"/>
      <c r="F53" s="21" t="n"/>
      <c r="G53" s="21" t="n"/>
    </row>
    <row r="54">
      <c r="A54" s="25" t="n"/>
      <c r="B54" s="38" t="n"/>
      <c r="C54" s="25" t="n"/>
      <c r="D54" s="25" t="n"/>
      <c r="E54" s="25" t="n"/>
      <c r="F54" s="21" t="n"/>
      <c r="G54" s="21" t="n"/>
    </row>
    <row r="55">
      <c r="A55" s="25" t="n"/>
      <c r="B55" s="38" t="n"/>
      <c r="C55" s="25" t="n"/>
      <c r="D55" s="25" t="n"/>
      <c r="E55" s="25" t="n"/>
      <c r="F55" s="21" t="n"/>
      <c r="G55" s="21" t="n"/>
    </row>
    <row r="56">
      <c r="A56" s="25" t="n"/>
      <c r="B56" s="38" t="n"/>
      <c r="C56" s="25" t="n"/>
      <c r="D56" s="25" t="n"/>
      <c r="E56" s="25" t="n"/>
      <c r="F56" s="21" t="n"/>
      <c r="G56" s="21" t="n"/>
    </row>
    <row r="57">
      <c r="A57" s="25" t="n"/>
      <c r="B57" s="38" t="n"/>
      <c r="C57" s="25" t="n"/>
      <c r="D57" s="25" t="n"/>
      <c r="E57" s="25" t="n"/>
      <c r="F57" s="21" t="n"/>
      <c r="G57" s="21" t="n"/>
    </row>
    <row r="58">
      <c r="A58" s="25" t="n"/>
      <c r="B58" s="38" t="n"/>
      <c r="C58" s="25" t="n"/>
      <c r="D58" s="25" t="n"/>
      <c r="E58" s="25" t="n"/>
      <c r="F58" s="21" t="n"/>
      <c r="G58" s="21" t="n"/>
    </row>
    <row r="59">
      <c r="A59" s="25" t="n"/>
      <c r="B59" s="38" t="n"/>
      <c r="C59" s="25" t="n"/>
      <c r="D59" s="25" t="n"/>
      <c r="E59" s="25" t="n"/>
      <c r="F59" s="21" t="n"/>
      <c r="G59" s="21" t="n"/>
    </row>
    <row r="60">
      <c r="A60" s="25" t="n"/>
      <c r="B60" s="38" t="n"/>
      <c r="C60" s="25" t="n"/>
      <c r="D60" s="25" t="n"/>
      <c r="E60" s="25" t="n"/>
      <c r="F60" s="21" t="n"/>
      <c r="G60" s="21" t="n"/>
    </row>
    <row r="61">
      <c r="A61" s="25" t="n"/>
      <c r="B61" s="38" t="n"/>
      <c r="C61" s="25" t="n"/>
      <c r="D61" s="25" t="n"/>
      <c r="E61" s="25" t="n"/>
      <c r="F61" s="21" t="n"/>
      <c r="G61" s="21" t="n"/>
    </row>
    <row r="62">
      <c r="A62" s="25" t="n"/>
      <c r="B62" s="38" t="n"/>
      <c r="C62" s="25" t="n"/>
      <c r="D62" s="25" t="n"/>
      <c r="E62" s="25" t="n"/>
      <c r="F62" s="21" t="n"/>
      <c r="G62" s="21" t="n"/>
    </row>
    <row r="63">
      <c r="A63" s="25" t="n"/>
      <c r="B63" s="38" t="n"/>
      <c r="C63" s="25" t="n"/>
      <c r="D63" s="25" t="n"/>
      <c r="E63" s="25" t="n"/>
      <c r="F63" s="21" t="n"/>
      <c r="G63" s="21" t="n"/>
    </row>
    <row r="64">
      <c r="A64" s="25" t="n"/>
      <c r="B64" s="38" t="n"/>
      <c r="C64" s="25" t="n"/>
      <c r="D64" s="25" t="n"/>
      <c r="E64" s="25" t="n"/>
      <c r="F64" s="21" t="n"/>
      <c r="G64" s="21" t="n"/>
    </row>
    <row r="65">
      <c r="A65" s="25" t="n"/>
      <c r="B65" s="38" t="n"/>
      <c r="C65" s="25" t="n"/>
      <c r="D65" s="25" t="n"/>
      <c r="E65" s="25" t="n"/>
      <c r="F65" s="21" t="n"/>
      <c r="G65" s="21" t="n"/>
    </row>
    <row r="66">
      <c r="A66" s="25" t="n"/>
      <c r="B66" s="38" t="n"/>
      <c r="C66" s="25" t="n"/>
      <c r="D66" s="25" t="n"/>
      <c r="E66" s="25" t="n"/>
      <c r="F66" s="21" t="n"/>
      <c r="G66" s="21" t="n"/>
    </row>
    <row r="67">
      <c r="A67" s="25" t="n"/>
      <c r="B67" s="38" t="n"/>
      <c r="C67" s="25" t="n"/>
      <c r="D67" s="25" t="n"/>
      <c r="E67" s="25" t="n"/>
      <c r="F67" s="21" t="n"/>
      <c r="G67" s="21" t="n"/>
    </row>
    <row r="68">
      <c r="A68" s="25" t="n"/>
      <c r="B68" s="38" t="n"/>
      <c r="C68" s="25" t="n"/>
      <c r="D68" s="25" t="n"/>
      <c r="E68" s="25" t="n"/>
      <c r="F68" s="21" t="n"/>
      <c r="G68" s="21" t="n"/>
    </row>
    <row r="69">
      <c r="A69" s="25" t="n"/>
      <c r="B69" s="38" t="n"/>
      <c r="C69" s="25" t="n"/>
      <c r="D69" s="25" t="n"/>
      <c r="E69" s="25" t="n"/>
      <c r="F69" s="21" t="n"/>
      <c r="G69" s="21" t="n"/>
    </row>
    <row r="70">
      <c r="A70" s="25" t="n"/>
      <c r="B70" s="38" t="n"/>
      <c r="C70" s="25" t="n"/>
      <c r="D70" s="25" t="n"/>
      <c r="E70" s="25" t="n"/>
      <c r="F70" s="21" t="n"/>
      <c r="G70" s="21" t="n"/>
    </row>
    <row r="71">
      <c r="A71" s="25" t="n"/>
      <c r="B71" s="38" t="n"/>
      <c r="C71" s="25" t="n"/>
      <c r="D71" s="25" t="n"/>
      <c r="E71" s="25" t="n"/>
      <c r="F71" s="21" t="n"/>
      <c r="G71" s="21" t="n"/>
    </row>
    <row r="72">
      <c r="A72" s="25" t="n"/>
      <c r="B72" s="38" t="n"/>
      <c r="C72" s="25" t="n"/>
      <c r="D72" s="25" t="n"/>
      <c r="E72" s="25" t="n"/>
      <c r="F72" s="21" t="n"/>
      <c r="G72" s="21" t="n"/>
    </row>
    <row r="73">
      <c r="A73" s="25" t="n"/>
      <c r="B73" s="38" t="n"/>
      <c r="C73" s="25" t="n"/>
      <c r="D73" s="25" t="n"/>
      <c r="E73" s="25" t="n"/>
      <c r="F73" s="21" t="n"/>
      <c r="G73" s="21" t="n"/>
    </row>
    <row r="74">
      <c r="A74" s="25" t="n"/>
      <c r="B74" s="38" t="n"/>
      <c r="C74" s="25" t="n"/>
      <c r="D74" s="25" t="n"/>
      <c r="E74" s="25" t="n"/>
      <c r="F74" s="21" t="n"/>
      <c r="G74" s="21" t="n"/>
    </row>
    <row r="75">
      <c r="A75" s="25" t="n"/>
      <c r="B75" s="38" t="n"/>
      <c r="C75" s="25" t="n"/>
      <c r="D75" s="25" t="n"/>
      <c r="E75" s="25" t="n"/>
      <c r="F75" s="21" t="n"/>
      <c r="G75" s="21" t="n"/>
    </row>
    <row r="76">
      <c r="A76" s="25" t="n"/>
      <c r="B76" s="38" t="n"/>
      <c r="C76" s="25" t="n"/>
      <c r="D76" s="25" t="n"/>
      <c r="E76" s="25" t="n"/>
      <c r="F76" s="21" t="n"/>
      <c r="G76" s="21" t="n"/>
    </row>
    <row r="77">
      <c r="A77" s="25" t="n"/>
      <c r="B77" s="38" t="n"/>
      <c r="C77" s="25" t="n"/>
      <c r="D77" s="25" t="n"/>
      <c r="E77" s="25" t="n"/>
      <c r="F77" s="21" t="n"/>
      <c r="G77" s="21" t="n"/>
    </row>
    <row r="78">
      <c r="A78" s="25" t="n"/>
      <c r="B78" s="38" t="n"/>
      <c r="C78" s="25" t="n"/>
      <c r="D78" s="25" t="n"/>
      <c r="E78" s="25" t="n"/>
      <c r="F78" s="21" t="n"/>
      <c r="G78" s="21" t="n"/>
    </row>
    <row r="79">
      <c r="A79" s="25" t="n"/>
      <c r="B79" s="38" t="n"/>
      <c r="C79" s="25" t="n"/>
      <c r="D79" s="25" t="n"/>
      <c r="E79" s="25" t="n"/>
      <c r="F79" s="21" t="n"/>
      <c r="G79" s="21" t="n"/>
    </row>
    <row r="80">
      <c r="A80" s="25" t="n"/>
      <c r="B80" s="38" t="n"/>
      <c r="C80" s="25" t="n"/>
      <c r="D80" s="25" t="n"/>
      <c r="E80" s="25" t="n"/>
      <c r="F80" s="21" t="n"/>
      <c r="G80" s="21" t="n"/>
    </row>
    <row r="81">
      <c r="A81" s="25" t="n"/>
      <c r="B81" s="38" t="n"/>
      <c r="C81" s="25" t="n"/>
      <c r="D81" s="25" t="n"/>
      <c r="E81" s="25" t="n"/>
      <c r="F81" s="21" t="n"/>
      <c r="G81" s="21" t="n"/>
    </row>
    <row r="82">
      <c r="A82" s="25" t="n"/>
      <c r="B82" s="38" t="n"/>
      <c r="C82" s="25" t="n"/>
      <c r="D82" s="25" t="n"/>
      <c r="E82" s="25" t="n"/>
      <c r="F82" s="21" t="n"/>
      <c r="G82" s="21" t="n"/>
    </row>
    <row r="83">
      <c r="A83" s="25" t="n"/>
      <c r="B83" s="38" t="n"/>
      <c r="C83" s="25" t="n"/>
      <c r="D83" s="25" t="n"/>
      <c r="E83" s="25" t="n"/>
      <c r="F83" s="21" t="n"/>
      <c r="G83" s="21" t="n"/>
    </row>
    <row r="84">
      <c r="A84" s="25" t="n"/>
      <c r="B84" s="38" t="n"/>
      <c r="C84" s="25" t="n"/>
      <c r="D84" s="25" t="n"/>
      <c r="E84" s="25" t="n"/>
      <c r="F84" s="21" t="n"/>
      <c r="G84" s="21" t="n"/>
    </row>
    <row r="85">
      <c r="A85" s="25" t="n"/>
      <c r="B85" s="38" t="n"/>
      <c r="C85" s="25" t="n"/>
      <c r="D85" s="25" t="n"/>
      <c r="E85" s="25" t="n"/>
      <c r="F85" s="21" t="n"/>
      <c r="G85" s="21" t="n"/>
    </row>
    <row r="86">
      <c r="A86" s="25" t="n"/>
      <c r="B86" s="38" t="n"/>
      <c r="C86" s="25" t="n"/>
      <c r="D86" s="25" t="n"/>
      <c r="E86" s="25" t="n"/>
      <c r="F86" s="21" t="n"/>
      <c r="G86" s="21" t="n"/>
    </row>
    <row r="87">
      <c r="A87" s="25" t="n"/>
      <c r="B87" s="38" t="n"/>
      <c r="C87" s="25" t="n"/>
      <c r="D87" s="25" t="n"/>
      <c r="E87" s="25" t="n"/>
      <c r="F87" s="21" t="n"/>
      <c r="G87" s="21" t="n"/>
    </row>
    <row r="88">
      <c r="A88" s="25" t="n"/>
      <c r="B88" s="38" t="n"/>
      <c r="C88" s="25" t="n"/>
      <c r="D88" s="25" t="n"/>
      <c r="E88" s="25" t="n"/>
      <c r="F88" s="21" t="n"/>
      <c r="G88" s="21" t="n"/>
    </row>
    <row r="89">
      <c r="A89" s="25" t="n"/>
      <c r="B89" s="38" t="n"/>
      <c r="C89" s="25" t="n"/>
      <c r="D89" s="25" t="n"/>
      <c r="E89" s="25" t="n"/>
      <c r="F89" s="21" t="n"/>
      <c r="G89" s="21" t="n"/>
    </row>
    <row r="90">
      <c r="A90" s="25" t="n"/>
      <c r="B90" s="38" t="n"/>
      <c r="C90" s="25" t="n"/>
      <c r="D90" s="25" t="n"/>
      <c r="E90" s="25" t="n"/>
      <c r="F90" s="21" t="n"/>
      <c r="G90" s="21" t="n"/>
    </row>
    <row r="91">
      <c r="A91" s="25" t="n"/>
      <c r="B91" s="38" t="n"/>
      <c r="C91" s="25" t="n"/>
      <c r="D91" s="25" t="n"/>
      <c r="E91" s="25" t="n"/>
      <c r="F91" s="21" t="n"/>
      <c r="G91" s="21" t="n"/>
    </row>
    <row r="92">
      <c r="A92" s="25" t="n"/>
      <c r="B92" s="38" t="n"/>
      <c r="C92" s="25" t="n"/>
      <c r="D92" s="25" t="n"/>
      <c r="E92" s="25" t="n"/>
      <c r="F92" s="21" t="n"/>
      <c r="G92" s="21" t="n"/>
    </row>
    <row r="93">
      <c r="A93" s="25" t="n"/>
      <c r="B93" s="38" t="n"/>
      <c r="C93" s="25" t="n"/>
      <c r="D93" s="25" t="n"/>
      <c r="E93" s="25" t="n"/>
      <c r="F93" s="21" t="n"/>
      <c r="G93" s="21" t="n"/>
    </row>
    <row r="94">
      <c r="A94" s="25" t="n"/>
      <c r="B94" s="38" t="n"/>
      <c r="C94" s="25" t="n"/>
      <c r="D94" s="25" t="n"/>
      <c r="E94" s="25" t="n"/>
      <c r="F94" s="21" t="n"/>
      <c r="G94" s="21" t="n"/>
    </row>
    <row r="95">
      <c r="A95" s="25" t="n"/>
      <c r="B95" s="38" t="n"/>
      <c r="C95" s="25" t="n"/>
      <c r="D95" s="25" t="n"/>
      <c r="E95" s="25" t="n"/>
      <c r="F95" s="21" t="n"/>
      <c r="G95" s="21" t="n"/>
    </row>
    <row r="96">
      <c r="A96" s="25" t="n"/>
      <c r="B96" s="38" t="n"/>
      <c r="C96" s="25" t="n"/>
      <c r="D96" s="25" t="n"/>
      <c r="E96" s="25" t="n"/>
      <c r="F96" s="21" t="n"/>
      <c r="G96" s="21" t="n"/>
    </row>
    <row r="97">
      <c r="A97" s="25" t="n"/>
      <c r="B97" s="38" t="n"/>
      <c r="C97" s="25" t="n"/>
      <c r="D97" s="25" t="n"/>
      <c r="E97" s="25" t="n"/>
      <c r="F97" s="21" t="n"/>
      <c r="G97" s="21" t="n"/>
    </row>
    <row r="98">
      <c r="A98" s="25" t="n"/>
      <c r="B98" s="38" t="n"/>
      <c r="C98" s="25" t="n"/>
      <c r="D98" s="25" t="n"/>
      <c r="E98" s="25" t="n"/>
      <c r="F98" s="21" t="n"/>
      <c r="G98" s="21" t="n"/>
    </row>
    <row r="99">
      <c r="A99" s="25" t="n"/>
      <c r="B99" s="38" t="n"/>
      <c r="C99" s="25" t="n"/>
      <c r="D99" s="25" t="n"/>
      <c r="E99" s="25" t="n"/>
      <c r="F99" s="21" t="n"/>
      <c r="G99" s="21" t="n"/>
    </row>
    <row r="100">
      <c r="A100" s="25" t="n"/>
      <c r="B100" s="38" t="n"/>
      <c r="C100" s="25" t="n"/>
      <c r="D100" s="25" t="n"/>
      <c r="E100" s="25" t="n"/>
      <c r="F100" s="21" t="n"/>
      <c r="G100" s="21" t="n"/>
    </row>
    <row r="101">
      <c r="A101" s="25" t="n"/>
      <c r="B101" s="38" t="n"/>
      <c r="C101" s="25" t="n"/>
      <c r="D101" s="25" t="n"/>
      <c r="E101" s="25" t="n"/>
      <c r="F101" s="21" t="n"/>
      <c r="G101" s="21" t="n"/>
    </row>
    <row r="102">
      <c r="A102" s="25" t="n"/>
      <c r="B102" s="38" t="n"/>
      <c r="C102" s="25" t="n"/>
      <c r="D102" s="25" t="n"/>
      <c r="E102" s="25" t="n"/>
      <c r="F102" s="21" t="n"/>
      <c r="G102" s="21" t="n"/>
    </row>
    <row r="103">
      <c r="A103" s="25" t="n"/>
      <c r="B103" s="38" t="n"/>
      <c r="C103" s="25" t="n"/>
      <c r="D103" s="25" t="n"/>
      <c r="E103" s="25" t="n"/>
      <c r="F103" s="21" t="n"/>
      <c r="G103" s="21" t="n"/>
    </row>
    <row r="104">
      <c r="A104" s="25" t="n"/>
      <c r="B104" s="38" t="n"/>
      <c r="C104" s="25" t="n"/>
      <c r="D104" s="25" t="n"/>
      <c r="E104" s="25" t="n"/>
      <c r="F104" s="21" t="n"/>
      <c r="G104" s="21" t="n"/>
    </row>
    <row r="105">
      <c r="A105" s="25" t="n"/>
      <c r="B105" s="38" t="n"/>
      <c r="C105" s="25" t="n"/>
      <c r="D105" s="25" t="n"/>
      <c r="E105" s="25" t="n"/>
      <c r="F105" s="21" t="n"/>
      <c r="G105" s="21" t="n"/>
    </row>
    <row r="106">
      <c r="A106" s="25" t="n"/>
      <c r="B106" s="38" t="n"/>
      <c r="C106" s="25" t="n"/>
      <c r="D106" s="25" t="n"/>
      <c r="E106" s="25" t="n"/>
      <c r="F106" s="21" t="n"/>
      <c r="G106" s="21" t="n"/>
    </row>
    <row r="107">
      <c r="A107" s="25" t="n"/>
      <c r="B107" s="38" t="n"/>
      <c r="C107" s="25" t="n"/>
      <c r="D107" s="25" t="n"/>
      <c r="E107" s="25" t="n"/>
      <c r="F107" s="21" t="n"/>
      <c r="G107" s="21" t="n"/>
    </row>
    <row r="108">
      <c r="A108" s="25" t="n"/>
      <c r="B108" s="38" t="n"/>
      <c r="C108" s="25" t="n"/>
      <c r="D108" s="25" t="n"/>
      <c r="E108" s="25" t="n"/>
      <c r="F108" s="21" t="n"/>
      <c r="G108" s="21" t="n"/>
    </row>
    <row r="109">
      <c r="A109" s="25" t="n"/>
      <c r="B109" s="38" t="n"/>
      <c r="C109" s="25" t="n"/>
      <c r="D109" s="25" t="n"/>
      <c r="E109" s="25" t="n"/>
      <c r="F109" s="21" t="n"/>
      <c r="G109" s="21" t="n"/>
    </row>
    <row r="110">
      <c r="A110" s="25" t="n"/>
      <c r="B110" s="38" t="n"/>
      <c r="C110" s="25" t="n"/>
      <c r="D110" s="25" t="n"/>
      <c r="E110" s="25" t="n"/>
      <c r="F110" s="21" t="n"/>
      <c r="G110" s="21" t="n"/>
    </row>
    <row r="111">
      <c r="A111" s="25" t="n"/>
      <c r="B111" s="38" t="n"/>
      <c r="C111" s="25" t="n"/>
      <c r="D111" s="25" t="n"/>
      <c r="E111" s="25" t="n"/>
      <c r="F111" s="21" t="n"/>
      <c r="G111" s="21" t="n"/>
    </row>
    <row r="112">
      <c r="A112" s="25" t="n"/>
      <c r="B112" s="38" t="n"/>
      <c r="C112" s="25" t="n"/>
      <c r="D112" s="25" t="n"/>
      <c r="E112" s="25" t="n"/>
      <c r="F112" s="21" t="n"/>
      <c r="G112" s="21" t="n"/>
    </row>
    <row r="113">
      <c r="A113" s="25" t="n"/>
      <c r="B113" s="38" t="n"/>
      <c r="C113" s="25" t="n"/>
      <c r="D113" s="25" t="n"/>
      <c r="E113" s="25" t="n"/>
      <c r="F113" s="21" t="n"/>
      <c r="G113" s="21" t="n"/>
    </row>
    <row r="114">
      <c r="A114" s="25" t="n"/>
      <c r="B114" s="38" t="n"/>
      <c r="C114" s="25" t="n"/>
      <c r="D114" s="25" t="n"/>
      <c r="E114" s="25" t="n"/>
      <c r="F114" s="21" t="n"/>
      <c r="G114" s="21" t="n"/>
    </row>
    <row r="115">
      <c r="A115" s="25" t="n"/>
      <c r="B115" s="38" t="n"/>
      <c r="C115" s="25" t="n"/>
      <c r="D115" s="25" t="n"/>
      <c r="E115" s="25" t="n"/>
      <c r="F115" s="21" t="n"/>
      <c r="G115" s="21" t="n"/>
    </row>
    <row r="116">
      <c r="A116" s="25" t="n"/>
      <c r="B116" s="38" t="n"/>
      <c r="C116" s="25" t="n"/>
      <c r="D116" s="25" t="n"/>
      <c r="E116" s="25" t="n"/>
      <c r="F116" s="21" t="n"/>
      <c r="G116" s="21" t="n"/>
    </row>
    <row r="117">
      <c r="A117" s="25" t="n"/>
      <c r="B117" s="38" t="n"/>
      <c r="C117" s="25" t="n"/>
      <c r="D117" s="25" t="n"/>
      <c r="E117" s="25" t="n"/>
      <c r="F117" s="21" t="n"/>
      <c r="G117" s="21" t="n"/>
    </row>
    <row r="118">
      <c r="A118" s="25" t="n"/>
      <c r="B118" s="38" t="n"/>
      <c r="C118" s="25" t="n"/>
      <c r="D118" s="25" t="n"/>
      <c r="E118" s="25" t="n"/>
      <c r="F118" s="21" t="n"/>
      <c r="G118" s="21" t="n"/>
    </row>
    <row r="119">
      <c r="A119" s="25" t="n"/>
      <c r="B119" s="38" t="n"/>
      <c r="C119" s="25" t="n"/>
      <c r="D119" s="25" t="n"/>
      <c r="E119" s="25" t="n"/>
      <c r="F119" s="21" t="n"/>
      <c r="G119" s="21" t="n"/>
    </row>
    <row r="120">
      <c r="A120" s="25" t="n"/>
      <c r="B120" s="38" t="n"/>
      <c r="C120" s="25" t="n"/>
      <c r="D120" s="25" t="n"/>
      <c r="E120" s="25" t="n"/>
      <c r="F120" s="21" t="n"/>
      <c r="G120" s="21" t="n"/>
    </row>
    <row r="121">
      <c r="A121" s="25" t="n"/>
      <c r="B121" s="38" t="n"/>
      <c r="C121" s="25" t="n"/>
      <c r="D121" s="25" t="n"/>
      <c r="E121" s="25" t="n"/>
      <c r="F121" s="21" t="n"/>
      <c r="G121" s="21" t="n"/>
    </row>
    <row r="122">
      <c r="A122" s="25" t="n"/>
      <c r="B122" s="38" t="n"/>
      <c r="C122" s="25" t="n"/>
      <c r="D122" s="25" t="n"/>
      <c r="E122" s="25" t="n"/>
      <c r="F122" s="21" t="n"/>
      <c r="G122" s="21" t="n"/>
    </row>
    <row r="123">
      <c r="A123" s="25" t="n"/>
      <c r="B123" s="38" t="n"/>
      <c r="C123" s="25" t="n"/>
      <c r="D123" s="25" t="n"/>
      <c r="E123" s="25" t="n"/>
      <c r="F123" s="21" t="n"/>
      <c r="G123" s="21" t="n"/>
    </row>
    <row r="124">
      <c r="A124" s="25" t="n"/>
      <c r="B124" s="38" t="n"/>
      <c r="C124" s="25" t="n"/>
      <c r="D124" s="25" t="n"/>
      <c r="E124" s="25" t="n"/>
      <c r="F124" s="21" t="n"/>
      <c r="G124" s="21" t="n"/>
    </row>
    <row r="125">
      <c r="A125" s="25" t="n"/>
      <c r="B125" s="38" t="n"/>
      <c r="C125" s="25" t="n"/>
      <c r="D125" s="25" t="n"/>
      <c r="E125" s="25" t="n"/>
      <c r="F125" s="21" t="n"/>
      <c r="G125" s="21" t="n"/>
    </row>
    <row r="126">
      <c r="A126" s="25" t="n"/>
      <c r="B126" s="38" t="n"/>
      <c r="C126" s="25" t="n"/>
      <c r="D126" s="25" t="n"/>
      <c r="E126" s="25" t="n"/>
      <c r="F126" s="21" t="n"/>
      <c r="G126" s="21" t="n"/>
    </row>
    <row r="127">
      <c r="A127" s="25" t="n"/>
      <c r="B127" s="38" t="n"/>
      <c r="C127" s="25" t="n"/>
      <c r="D127" s="25" t="n"/>
      <c r="E127" s="25" t="n"/>
      <c r="F127" s="21" t="n"/>
      <c r="G127" s="21" t="n"/>
    </row>
    <row r="128">
      <c r="A128" s="25" t="n"/>
      <c r="B128" s="38" t="n"/>
      <c r="C128" s="25" t="n"/>
      <c r="D128" s="25" t="n"/>
      <c r="E128" s="25" t="n"/>
      <c r="F128" s="21" t="n"/>
      <c r="G128" s="21" t="n"/>
    </row>
    <row r="129">
      <c r="A129" s="25" t="n"/>
      <c r="B129" s="38" t="n"/>
      <c r="C129" s="25" t="n"/>
      <c r="D129" s="25" t="n"/>
      <c r="E129" s="25" t="n"/>
      <c r="F129" s="21" t="n"/>
      <c r="G129" s="21" t="n"/>
    </row>
    <row r="130">
      <c r="A130" s="25" t="n"/>
      <c r="B130" s="38" t="n"/>
      <c r="C130" s="25" t="n"/>
      <c r="D130" s="25" t="n"/>
      <c r="E130" s="25" t="n"/>
      <c r="F130" s="21" t="n"/>
      <c r="G130" s="21" t="n"/>
    </row>
    <row r="131">
      <c r="A131" s="25" t="n"/>
      <c r="B131" s="38" t="n"/>
      <c r="C131" s="25" t="n"/>
      <c r="D131" s="25" t="n"/>
      <c r="E131" s="25" t="n"/>
      <c r="F131" s="21" t="n"/>
      <c r="G131" s="21" t="n"/>
    </row>
    <row r="132">
      <c r="A132" s="25" t="n"/>
      <c r="B132" s="38" t="n"/>
      <c r="C132" s="25" t="n"/>
      <c r="D132" s="25" t="n"/>
      <c r="E132" s="25" t="n"/>
      <c r="F132" s="21" t="n"/>
      <c r="G132" s="21" t="n"/>
    </row>
    <row r="133">
      <c r="A133" s="25" t="n"/>
      <c r="B133" s="38" t="n"/>
      <c r="C133" s="25" t="n"/>
      <c r="D133" s="25" t="n"/>
      <c r="E133" s="25" t="n"/>
      <c r="F133" s="21" t="n"/>
      <c r="G133" s="21" t="n"/>
    </row>
    <row r="134">
      <c r="A134" s="25" t="n"/>
      <c r="B134" s="38" t="n"/>
      <c r="C134" s="25" t="n"/>
      <c r="D134" s="25" t="n"/>
      <c r="E134" s="25" t="n"/>
      <c r="F134" s="21" t="n"/>
      <c r="G134" s="21" t="n"/>
    </row>
    <row r="135">
      <c r="A135" s="25" t="n"/>
      <c r="B135" s="38" t="n"/>
      <c r="C135" s="25" t="n"/>
      <c r="D135" s="25" t="n"/>
      <c r="E135" s="25" t="n"/>
      <c r="F135" s="21" t="n"/>
      <c r="G135" s="21" t="n"/>
    </row>
    <row r="136">
      <c r="A136" s="25" t="n"/>
      <c r="B136" s="38" t="n"/>
      <c r="C136" s="25" t="n"/>
      <c r="D136" s="25" t="n"/>
      <c r="E136" s="25" t="n"/>
      <c r="F136" s="21" t="n"/>
      <c r="G136" s="21" t="n"/>
    </row>
    <row r="137">
      <c r="A137" s="25" t="n"/>
      <c r="B137" s="38" t="n"/>
      <c r="C137" s="25" t="n"/>
      <c r="D137" s="25" t="n"/>
      <c r="E137" s="25" t="n"/>
      <c r="F137" s="21" t="n"/>
      <c r="G137" s="21" t="n"/>
    </row>
    <row r="138">
      <c r="A138" s="25" t="n"/>
      <c r="B138" s="38" t="n"/>
      <c r="C138" s="25" t="n"/>
      <c r="D138" s="25" t="n"/>
      <c r="E138" s="25" t="n"/>
      <c r="F138" s="21" t="n"/>
      <c r="G138" s="21" t="n"/>
    </row>
    <row r="139">
      <c r="A139" s="25" t="n"/>
      <c r="B139" s="38" t="n"/>
      <c r="C139" s="25" t="n"/>
      <c r="D139" s="25" t="n"/>
      <c r="E139" s="25" t="n"/>
      <c r="F139" s="21" t="n"/>
      <c r="G139" s="21" t="n"/>
    </row>
    <row r="140">
      <c r="A140" s="25" t="n"/>
      <c r="B140" s="38" t="n"/>
      <c r="C140" s="25" t="n"/>
      <c r="D140" s="25" t="n"/>
      <c r="E140" s="25" t="n"/>
      <c r="F140" s="21" t="n"/>
      <c r="G140" s="21" t="n"/>
    </row>
    <row r="141">
      <c r="A141" s="25" t="n"/>
      <c r="B141" s="38" t="n"/>
      <c r="C141" s="25" t="n"/>
      <c r="D141" s="25" t="n"/>
      <c r="E141" s="25" t="n"/>
      <c r="F141" s="21" t="n"/>
      <c r="G141" s="21" t="n"/>
    </row>
    <row r="142">
      <c r="A142" s="25" t="n"/>
      <c r="B142" s="38" t="n"/>
      <c r="C142" s="25" t="n"/>
      <c r="D142" s="25" t="n"/>
      <c r="E142" s="25" t="n"/>
      <c r="F142" s="21" t="n"/>
      <c r="G142" s="21" t="n"/>
    </row>
    <row r="143">
      <c r="A143" s="25" t="n"/>
      <c r="B143" s="38" t="n"/>
      <c r="C143" s="25" t="n"/>
      <c r="D143" s="25" t="n"/>
      <c r="E143" s="25" t="n"/>
      <c r="F143" s="21" t="n"/>
      <c r="G143" s="21" t="n"/>
    </row>
    <row r="144">
      <c r="A144" s="25" t="n"/>
      <c r="B144" s="38" t="n"/>
      <c r="C144" s="25" t="n"/>
      <c r="D144" s="25" t="n"/>
      <c r="E144" s="25" t="n"/>
      <c r="F144" s="21" t="n"/>
      <c r="G144" s="21" t="n"/>
    </row>
    <row r="145">
      <c r="A145" s="25" t="n"/>
      <c r="B145" s="38" t="n"/>
      <c r="C145" s="25" t="n"/>
      <c r="D145" s="25" t="n"/>
      <c r="E145" s="25" t="n"/>
      <c r="F145" s="21" t="n"/>
      <c r="G145" s="21" t="n"/>
    </row>
    <row r="146">
      <c r="A146" s="25" t="n"/>
      <c r="B146" s="38" t="n"/>
      <c r="C146" s="25" t="n"/>
      <c r="D146" s="25" t="n"/>
      <c r="E146" s="25" t="n"/>
      <c r="F146" s="21" t="n"/>
      <c r="G146" s="21" t="n"/>
    </row>
    <row r="147">
      <c r="A147" s="25" t="n"/>
      <c r="B147" s="38" t="n"/>
      <c r="C147" s="25" t="n"/>
      <c r="D147" s="25" t="n"/>
      <c r="E147" s="25" t="n"/>
      <c r="F147" s="21" t="n"/>
      <c r="G147" s="21" t="n"/>
    </row>
    <row r="148">
      <c r="A148" s="25" t="n"/>
      <c r="B148" s="38" t="n"/>
      <c r="C148" s="25" t="n"/>
      <c r="D148" s="25" t="n"/>
      <c r="E148" s="25" t="n"/>
      <c r="F148" s="21" t="n"/>
      <c r="G148" s="21" t="n"/>
    </row>
    <row r="149">
      <c r="A149" s="25" t="n"/>
      <c r="B149" s="38" t="n"/>
      <c r="C149" s="25" t="n"/>
      <c r="D149" s="25" t="n"/>
      <c r="E149" s="25" t="n"/>
      <c r="F149" s="21" t="n"/>
      <c r="G149" s="21" t="n"/>
    </row>
    <row r="150">
      <c r="A150" s="25" t="n"/>
      <c r="B150" s="38" t="n"/>
      <c r="C150" s="25" t="n"/>
      <c r="D150" s="25" t="n"/>
      <c r="E150" s="25" t="n"/>
      <c r="F150" s="21" t="n"/>
      <c r="G150" s="21" t="n"/>
    </row>
    <row r="151">
      <c r="A151" s="25" t="n"/>
      <c r="B151" s="38" t="n"/>
      <c r="C151" s="25" t="n"/>
      <c r="D151" s="25" t="n"/>
      <c r="E151" s="25" t="n"/>
      <c r="F151" s="21" t="n"/>
      <c r="G151" s="21" t="n"/>
    </row>
    <row r="152">
      <c r="A152" s="25" t="n"/>
      <c r="B152" s="38" t="n"/>
      <c r="C152" s="25" t="n"/>
      <c r="D152" s="25" t="n"/>
      <c r="E152" s="25" t="n"/>
      <c r="F152" s="21" t="n"/>
      <c r="G152" s="21" t="n"/>
    </row>
    <row r="153">
      <c r="A153" s="25" t="n"/>
      <c r="B153" s="38" t="n"/>
      <c r="C153" s="25" t="n"/>
      <c r="D153" s="25" t="n"/>
      <c r="E153" s="25" t="n"/>
      <c r="F153" s="21" t="n"/>
      <c r="G153" s="21" t="n"/>
    </row>
    <row r="154">
      <c r="A154" s="25" t="n"/>
      <c r="B154" s="38" t="n"/>
      <c r="C154" s="25" t="n"/>
      <c r="D154" s="25" t="n"/>
      <c r="E154" s="25" t="n"/>
      <c r="F154" s="21" t="n"/>
      <c r="G154" s="21" t="n"/>
    </row>
    <row r="155">
      <c r="A155" s="25" t="n"/>
      <c r="B155" s="38" t="n"/>
      <c r="C155" s="25" t="n"/>
      <c r="D155" s="25" t="n"/>
      <c r="E155" s="25" t="n"/>
      <c r="F155" s="21" t="n"/>
      <c r="G155" s="21" t="n"/>
    </row>
    <row r="156">
      <c r="A156" s="25" t="n"/>
      <c r="B156" s="38" t="n"/>
      <c r="C156" s="25" t="n"/>
      <c r="D156" s="25" t="n"/>
      <c r="E156" s="25" t="n"/>
      <c r="F156" s="21" t="n"/>
      <c r="G156" s="21" t="n"/>
    </row>
    <row r="157">
      <c r="A157" s="25" t="n"/>
      <c r="B157" s="38" t="n"/>
      <c r="C157" s="25" t="n"/>
      <c r="D157" s="25" t="n"/>
      <c r="E157" s="25" t="n"/>
      <c r="F157" s="21" t="n"/>
      <c r="G157" s="21" t="n"/>
    </row>
    <row r="158">
      <c r="A158" s="25" t="n"/>
      <c r="B158" s="38" t="n"/>
      <c r="C158" s="25" t="n"/>
      <c r="D158" s="25" t="n"/>
      <c r="E158" s="25" t="n"/>
      <c r="F158" s="21" t="n"/>
      <c r="G158" s="21" t="n"/>
    </row>
    <row r="159">
      <c r="A159" s="25" t="n"/>
      <c r="B159" s="38" t="n"/>
      <c r="C159" s="25" t="n"/>
      <c r="D159" s="25" t="n"/>
      <c r="E159" s="25" t="n"/>
      <c r="F159" s="21" t="n"/>
      <c r="G159" s="21" t="n"/>
    </row>
    <row r="160">
      <c r="A160" s="25" t="n"/>
      <c r="B160" s="38" t="n"/>
      <c r="C160" s="25" t="n"/>
      <c r="D160" s="25" t="n"/>
      <c r="E160" s="25" t="n"/>
      <c r="F160" s="21" t="n"/>
      <c r="G160" s="21" t="n"/>
    </row>
    <row r="161">
      <c r="A161" s="25" t="n"/>
      <c r="B161" s="38" t="n"/>
      <c r="C161" s="25" t="n"/>
      <c r="D161" s="25" t="n"/>
      <c r="E161" s="25" t="n"/>
      <c r="F161" s="21" t="n"/>
      <c r="G161" s="21" t="n"/>
    </row>
    <row r="162">
      <c r="A162" s="25" t="n"/>
      <c r="B162" s="38" t="n"/>
      <c r="C162" s="25" t="n"/>
      <c r="D162" s="25" t="n"/>
      <c r="E162" s="25" t="n"/>
      <c r="F162" s="21" t="n"/>
      <c r="G162" s="21" t="n"/>
    </row>
    <row r="163">
      <c r="A163" s="25" t="n"/>
      <c r="B163" s="38" t="n"/>
      <c r="C163" s="25" t="n"/>
      <c r="D163" s="25" t="n"/>
      <c r="E163" s="25" t="n"/>
      <c r="F163" s="21" t="n"/>
      <c r="G163" s="21" t="n"/>
    </row>
    <row r="164">
      <c r="A164" s="25" t="n"/>
      <c r="B164" s="38" t="n"/>
      <c r="C164" s="25" t="n"/>
      <c r="D164" s="25" t="n"/>
      <c r="E164" s="25" t="n"/>
      <c r="F164" s="21" t="n"/>
      <c r="G164" s="21" t="n"/>
    </row>
    <row r="165">
      <c r="A165" s="25" t="n"/>
      <c r="B165" s="38" t="n"/>
      <c r="C165" s="25" t="n"/>
      <c r="D165" s="25" t="n"/>
      <c r="E165" s="25" t="n"/>
      <c r="F165" s="21" t="n"/>
      <c r="G165" s="21" t="n"/>
    </row>
    <row r="166">
      <c r="A166" s="25" t="n"/>
      <c r="B166" s="38" t="n"/>
      <c r="C166" s="25" t="n"/>
      <c r="D166" s="25" t="n"/>
      <c r="E166" s="25" t="n"/>
      <c r="F166" s="21" t="n"/>
      <c r="G166" s="21" t="n"/>
    </row>
    <row r="167">
      <c r="A167" s="25" t="n"/>
      <c r="B167" s="38" t="n"/>
      <c r="C167" s="25" t="n"/>
      <c r="D167" s="25" t="n"/>
      <c r="E167" s="25" t="n"/>
      <c r="F167" s="21" t="n"/>
      <c r="G167" s="21" t="n"/>
    </row>
    <row r="168">
      <c r="A168" s="25" t="n"/>
      <c r="B168" s="38" t="n"/>
      <c r="C168" s="25" t="n"/>
      <c r="D168" s="25" t="n"/>
      <c r="E168" s="25" t="n"/>
      <c r="F168" s="21" t="n"/>
      <c r="G168" s="21" t="n"/>
    </row>
    <row r="169">
      <c r="A169" s="25" t="n"/>
      <c r="B169" s="38" t="n"/>
      <c r="C169" s="25" t="n"/>
      <c r="D169" s="25" t="n"/>
      <c r="E169" s="25" t="n"/>
      <c r="F169" s="21" t="n"/>
      <c r="G169" s="21" t="n"/>
    </row>
    <row r="170">
      <c r="A170" s="25" t="n"/>
      <c r="B170" s="38" t="n"/>
      <c r="C170" s="25" t="n"/>
      <c r="D170" s="25" t="n"/>
      <c r="E170" s="25" t="n"/>
      <c r="F170" s="21" t="n"/>
      <c r="G170" s="21" t="n"/>
    </row>
    <row r="171">
      <c r="A171" s="25" t="n"/>
      <c r="B171" s="38" t="n"/>
      <c r="C171" s="25" t="n"/>
      <c r="D171" s="25" t="n"/>
      <c r="E171" s="25" t="n"/>
      <c r="F171" s="21" t="n"/>
      <c r="G171" s="21" t="n"/>
    </row>
    <row r="172">
      <c r="A172" s="25" t="n"/>
      <c r="B172" s="38" t="n"/>
      <c r="C172" s="25" t="n"/>
      <c r="D172" s="25" t="n"/>
      <c r="E172" s="25" t="n"/>
      <c r="F172" s="21" t="n"/>
      <c r="G172" s="21" t="n"/>
    </row>
    <row r="173">
      <c r="A173" s="25" t="n"/>
      <c r="B173" s="38" t="n"/>
      <c r="C173" s="25" t="n"/>
      <c r="D173" s="25" t="n"/>
      <c r="E173" s="25" t="n"/>
      <c r="F173" s="21" t="n"/>
      <c r="G173" s="21" t="n"/>
    </row>
    <row r="174">
      <c r="A174" s="25" t="n"/>
      <c r="B174" s="38" t="n"/>
      <c r="C174" s="25" t="n"/>
      <c r="D174" s="25" t="n"/>
      <c r="E174" s="25" t="n"/>
      <c r="F174" s="21" t="n"/>
      <c r="G174" s="21" t="n"/>
    </row>
    <row r="175">
      <c r="A175" s="25" t="n"/>
      <c r="B175" s="38" t="n"/>
      <c r="C175" s="25" t="n"/>
      <c r="D175" s="25" t="n"/>
      <c r="E175" s="25" t="n"/>
      <c r="F175" s="21" t="n"/>
      <c r="G175" s="21" t="n"/>
    </row>
    <row r="176">
      <c r="A176" s="25" t="n"/>
      <c r="B176" s="38" t="n"/>
      <c r="C176" s="25" t="n"/>
      <c r="D176" s="25" t="n"/>
      <c r="E176" s="25" t="n"/>
      <c r="F176" s="21" t="n"/>
      <c r="G176" s="21" t="n"/>
    </row>
    <row r="177">
      <c r="A177" s="25" t="n"/>
      <c r="B177" s="38" t="n"/>
      <c r="C177" s="25" t="n"/>
      <c r="D177" s="25" t="n"/>
      <c r="E177" s="25" t="n"/>
      <c r="F177" s="21" t="n"/>
      <c r="G177" s="21" t="n"/>
    </row>
    <row r="178">
      <c r="A178" s="25" t="n"/>
      <c r="B178" s="38" t="n"/>
      <c r="C178" s="25" t="n"/>
      <c r="D178" s="25" t="n"/>
      <c r="E178" s="25" t="n"/>
      <c r="F178" s="21" t="n"/>
      <c r="G178" s="21" t="n"/>
    </row>
    <row r="179">
      <c r="A179" s="25" t="n"/>
      <c r="B179" s="38" t="n"/>
      <c r="C179" s="25" t="n"/>
      <c r="D179" s="25" t="n"/>
      <c r="E179" s="25" t="n"/>
      <c r="F179" s="21" t="n"/>
      <c r="G179" s="21" t="n"/>
    </row>
    <row r="180">
      <c r="A180" s="25" t="n"/>
      <c r="B180" s="38" t="n"/>
      <c r="C180" s="25" t="n"/>
      <c r="D180" s="25" t="n"/>
      <c r="E180" s="25" t="n"/>
      <c r="F180" s="21" t="n"/>
      <c r="G180" s="21" t="n"/>
    </row>
    <row r="181">
      <c r="A181" s="25" t="n"/>
      <c r="B181" s="38" t="n"/>
      <c r="C181" s="25" t="n"/>
      <c r="D181" s="25" t="n"/>
      <c r="E181" s="25" t="n"/>
      <c r="F181" s="21" t="n"/>
      <c r="G181" s="21" t="n"/>
    </row>
    <row r="182">
      <c r="A182" s="25" t="n"/>
      <c r="B182" s="38" t="n"/>
      <c r="C182" s="25" t="n"/>
      <c r="D182" s="25" t="n"/>
      <c r="E182" s="25" t="n"/>
      <c r="F182" s="21" t="n"/>
      <c r="G182" s="21" t="n"/>
    </row>
    <row r="183">
      <c r="A183" s="25" t="n"/>
      <c r="B183" s="38" t="n"/>
      <c r="C183" s="25" t="n"/>
      <c r="D183" s="25" t="n"/>
      <c r="E183" s="25" t="n"/>
      <c r="F183" s="21" t="n"/>
      <c r="G183" s="21" t="n"/>
    </row>
    <row r="184">
      <c r="A184" s="25" t="n"/>
      <c r="B184" s="38" t="n"/>
      <c r="C184" s="25" t="n"/>
      <c r="D184" s="25" t="n"/>
      <c r="E184" s="25" t="n"/>
      <c r="F184" s="21" t="n"/>
      <c r="G184" s="21" t="n"/>
    </row>
    <row r="185">
      <c r="A185" s="25" t="n"/>
      <c r="B185" s="38" t="n"/>
      <c r="C185" s="25" t="n"/>
      <c r="D185" s="25" t="n"/>
      <c r="E185" s="25" t="n"/>
      <c r="F185" s="21" t="n"/>
      <c r="G185" s="21" t="n"/>
    </row>
    <row r="186">
      <c r="A186" s="25" t="n"/>
      <c r="B186" s="38" t="n"/>
      <c r="C186" s="25" t="n"/>
      <c r="D186" s="25" t="n"/>
      <c r="E186" s="25" t="n"/>
      <c r="F186" s="21" t="n"/>
      <c r="G186" s="21" t="n"/>
    </row>
    <row r="187">
      <c r="A187" s="25" t="n"/>
      <c r="B187" s="38" t="n"/>
      <c r="C187" s="25" t="n"/>
      <c r="D187" s="25" t="n"/>
      <c r="E187" s="25" t="n"/>
      <c r="F187" s="21" t="n"/>
      <c r="G187" s="21" t="n"/>
    </row>
    <row r="188">
      <c r="A188" s="25" t="n"/>
      <c r="B188" s="38" t="n"/>
      <c r="C188" s="25" t="n"/>
      <c r="D188" s="25" t="n"/>
      <c r="E188" s="25" t="n"/>
      <c r="F188" s="21" t="n"/>
      <c r="G188" s="21" t="n"/>
    </row>
    <row r="189">
      <c r="A189" s="25" t="n"/>
      <c r="B189" s="38" t="n"/>
      <c r="C189" s="25" t="n"/>
      <c r="D189" s="25" t="n"/>
      <c r="E189" s="25" t="n"/>
      <c r="F189" s="21" t="n"/>
      <c r="G189" s="21" t="n"/>
    </row>
    <row r="190">
      <c r="A190" s="25" t="n"/>
      <c r="B190" s="38" t="n"/>
      <c r="C190" s="25" t="n"/>
      <c r="D190" s="25" t="n"/>
      <c r="E190" s="25" t="n"/>
      <c r="F190" s="21" t="n"/>
      <c r="G190" s="21" t="n"/>
    </row>
    <row r="191">
      <c r="A191" s="25" t="n"/>
      <c r="B191" s="38" t="n"/>
      <c r="C191" s="25" t="n"/>
      <c r="D191" s="25" t="n"/>
      <c r="E191" s="25" t="n"/>
      <c r="F191" s="21" t="n"/>
      <c r="G191" s="21" t="n"/>
    </row>
    <row r="192">
      <c r="A192" s="25" t="n"/>
      <c r="B192" s="38" t="n"/>
      <c r="C192" s="25" t="n"/>
      <c r="D192" s="25" t="n"/>
      <c r="E192" s="25" t="n"/>
      <c r="F192" s="21" t="n"/>
      <c r="G192" s="21" t="n"/>
    </row>
    <row r="193">
      <c r="A193" s="25" t="n"/>
      <c r="B193" s="38" t="n"/>
      <c r="C193" s="25" t="n"/>
      <c r="D193" s="25" t="n"/>
      <c r="E193" s="25" t="n"/>
      <c r="F193" s="21" t="n"/>
      <c r="G193" s="21" t="n"/>
    </row>
    <row r="194">
      <c r="A194" s="25" t="n"/>
      <c r="B194" s="38" t="n"/>
      <c r="C194" s="25" t="n"/>
      <c r="D194" s="25" t="n"/>
      <c r="E194" s="25" t="n"/>
      <c r="F194" s="21" t="n"/>
      <c r="G194" s="21" t="n"/>
    </row>
    <row r="195">
      <c r="A195" s="25" t="n"/>
      <c r="B195" s="38" t="n"/>
      <c r="C195" s="25" t="n"/>
      <c r="D195" s="25" t="n"/>
      <c r="E195" s="25" t="n"/>
      <c r="F195" s="21" t="n"/>
      <c r="G195" s="21" t="n"/>
    </row>
    <row r="196">
      <c r="A196" s="25" t="n"/>
      <c r="B196" s="38" t="n"/>
      <c r="C196" s="25" t="n"/>
      <c r="D196" s="25" t="n"/>
      <c r="E196" s="25" t="n"/>
      <c r="F196" s="21" t="n"/>
      <c r="G196" s="21" t="n"/>
    </row>
    <row r="197">
      <c r="A197" s="25" t="n"/>
      <c r="B197" s="38" t="n"/>
      <c r="C197" s="25" t="n"/>
      <c r="D197" s="25" t="n"/>
      <c r="E197" s="25" t="n"/>
      <c r="F197" s="21" t="n"/>
      <c r="G197" s="21" t="n"/>
    </row>
    <row r="198">
      <c r="A198" s="25" t="n"/>
      <c r="B198" s="38" t="n"/>
      <c r="C198" s="25" t="n"/>
      <c r="D198" s="25" t="n"/>
      <c r="E198" s="25" t="n"/>
      <c r="F198" s="21" t="n"/>
      <c r="G198" s="21" t="n"/>
    </row>
    <row r="199">
      <c r="A199" s="25" t="n"/>
      <c r="B199" s="38" t="n"/>
      <c r="C199" s="25" t="n"/>
      <c r="D199" s="25" t="n"/>
      <c r="E199" s="25" t="n"/>
      <c r="F199" s="21" t="n"/>
      <c r="G199" s="21" t="n"/>
    </row>
    <row r="200">
      <c r="A200" s="25" t="n"/>
      <c r="B200" s="38" t="n"/>
      <c r="C200" s="25" t="n"/>
      <c r="D200" s="25" t="n"/>
      <c r="E200" s="25" t="n"/>
      <c r="F200" s="21" t="n"/>
      <c r="G200" s="21" t="n"/>
    </row>
    <row r="201">
      <c r="A201" s="25" t="n"/>
      <c r="B201" s="38" t="n"/>
      <c r="C201" s="25" t="n"/>
      <c r="D201" s="25" t="n"/>
      <c r="E201" s="25" t="n"/>
      <c r="F201" s="21" t="n"/>
      <c r="G201" s="21" t="n"/>
    </row>
    <row r="202">
      <c r="A202" s="25" t="n"/>
      <c r="B202" s="38" t="n"/>
      <c r="C202" s="25" t="n"/>
      <c r="D202" s="25" t="n"/>
      <c r="E202" s="25" t="n"/>
      <c r="F202" s="21" t="n"/>
      <c r="G202" s="21" t="n"/>
    </row>
    <row r="203">
      <c r="A203" s="25" t="n"/>
      <c r="B203" s="38" t="n"/>
      <c r="C203" s="25" t="n"/>
      <c r="D203" s="25" t="n"/>
      <c r="E203" s="25" t="n"/>
      <c r="F203" s="21" t="n"/>
      <c r="G203" s="21" t="n"/>
    </row>
    <row r="204">
      <c r="A204" s="25" t="n"/>
      <c r="B204" s="38" t="n"/>
      <c r="C204" s="25" t="n"/>
      <c r="D204" s="25" t="n"/>
      <c r="E204" s="25" t="n"/>
      <c r="F204" s="21" t="n"/>
      <c r="G204" s="21" t="n"/>
    </row>
    <row r="205">
      <c r="A205" s="25" t="n"/>
      <c r="B205" s="38" t="n"/>
      <c r="C205" s="25" t="n"/>
      <c r="D205" s="25" t="n"/>
      <c r="E205" s="25" t="n"/>
      <c r="F205" s="21" t="n"/>
      <c r="G205" s="21" t="n"/>
    </row>
  </sheetData>
  <mergeCells count="4">
    <mergeCell ref="F3:G3"/>
    <mergeCell ref="A2:G2"/>
    <mergeCell ref="A1:G1"/>
    <mergeCell ref="B3:E3"/>
  </mergeCells>
  <dataValidations count="3">
    <dataValidation sqref="A6:A205" showDropDown="0" showInputMessage="0" showErrorMessage="1" allowBlank="0" errorTitle="Нет такого разработчика" error="Сначала добавьте разработчика на лист «Разработчики»." type="list">
      <formula1>'Разработчики'!$B$5:$B$205</formula1>
    </dataValidation>
    <dataValidation sqref="C6:C205" showDropDown="0" showInputMessage="0" showErrorMessage="1" allowBlank="0" errorTitle="Значение не из справочника" error="Выберите значение из выпадающего списка — справочник на листе «Справочники»." type="list">
      <formula1>'Справочники'!$K$5:$K$10</formula1>
    </dataValidation>
    <dataValidation sqref="B6:B205" showDropDown="0" showInputMessage="0" showErrorMessage="1" allowBlank="0" error="Дата события не позже сегодняшней." type="date" operator="lessThanOrEqual">
      <formula1>TODAY()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1" customWidth="1" min="4" max="4"/>
    <col width="11" customWidth="1" min="5" max="5"/>
    <col width="11" customWidth="1" min="6" max="6"/>
    <col width="10" customWidth="1" min="7" max="7"/>
    <col width="36" customWidth="1" min="8" max="8"/>
    <col width="30" customWidth="1" min="9" max="9"/>
    <col width="16" customWidth="1" min="10" max="10"/>
  </cols>
  <sheetData>
    <row r="1" ht="26" customHeight="1">
      <c r="A1" s="29" t="inlineStr">
        <is>
          <t>Оценки по итогам совместной работы</t>
        </is>
      </c>
    </row>
    <row r="2" ht="30" customHeight="1">
      <c r="A2" s="12" t="inlineStr">
        <is>
          <t>Одна оценка от человека на разработчика; повторная заменяет прежнюю. Оценивает модератор каталога по пятибалльной шкале. Строка 5 — пример.</t>
        </is>
      </c>
    </row>
    <row r="3" ht="22" customHeight="1">
      <c r="A3" s="28" t="inlineStr">
        <is>
          <t>Разработчик</t>
        </is>
      </c>
      <c r="B3" s="28" t="inlineStr">
        <is>
          <t>Оценка</t>
        </is>
      </c>
      <c r="C3" s="30" t="n"/>
      <c r="D3" s="30" t="n"/>
      <c r="E3" s="30" t="n"/>
      <c r="F3" s="30" t="n"/>
      <c r="G3" s="30" t="n"/>
      <c r="H3" s="30" t="n"/>
      <c r="I3" s="28" t="inlineStr">
        <is>
          <t>Обсуждение</t>
        </is>
      </c>
      <c r="J3" s="30" t="n"/>
    </row>
    <row r="4" ht="58" customHeight="1">
      <c r="A4" s="15" t="inlineStr">
        <is>
          <t>Разработчик *</t>
        </is>
      </c>
      <c r="B4" s="15" t="inlineStr">
        <is>
          <t>Оценивающий *</t>
        </is>
      </c>
      <c r="C4" s="15" t="inlineStr">
        <is>
          <t>Проект</t>
        </is>
      </c>
      <c r="D4" s="15" t="inlineStr">
        <is>
          <t>Качество результата *</t>
        </is>
      </c>
      <c r="E4" s="15" t="inlineStr">
        <is>
          <t>Соблюдение сроков *</t>
        </is>
      </c>
      <c r="F4" s="15" t="inlineStr">
        <is>
          <t>Взаимодействие *</t>
        </is>
      </c>
      <c r="G4" s="31" t="inlineStr">
        <is>
          <t>Средняя</t>
        </is>
      </c>
      <c r="H4" s="15" t="inlineStr">
        <is>
          <t>Комментарий к оценке</t>
        </is>
      </c>
      <c r="I4" s="16" t="inlineStr">
        <is>
          <t>Комментарий</t>
        </is>
      </c>
      <c r="J4" s="16" t="inlineStr">
        <is>
          <t>Автор комментария</t>
        </is>
      </c>
    </row>
    <row r="5" ht="45" customHeight="1">
      <c r="A5" s="32" t="inlineStr">
        <is>
          <t>ООО «Нейросоциум» (пример)</t>
        </is>
      </c>
      <c r="B5" s="32" t="inlineStr">
        <is>
          <t>Ковалёв А. В.</t>
        </is>
      </c>
      <c r="C5" s="32" t="inlineStr">
        <is>
          <t>Пилот консультанта в ТЦСО «Ярославский»</t>
        </is>
      </c>
      <c r="D5" s="32" t="n">
        <v>5</v>
      </c>
      <c r="E5" s="32" t="n">
        <v>4</v>
      </c>
      <c r="F5" s="32" t="n">
        <v>5</v>
      </c>
      <c r="G5" s="39">
        <f>IF(COUNT(D5:F5)=3,AVERAGE(D5:F5),"")</f>
        <v/>
      </c>
      <c r="H5" s="32" t="inlineStr">
        <is>
          <t>Сильная команда, сдвинули срок на неделю из-за интеграции.</t>
        </is>
      </c>
      <c r="I5" s="32" t="inlineStr"/>
      <c r="J5" s="32" t="inlineStr"/>
    </row>
    <row r="6">
      <c r="A6" s="25" t="n"/>
      <c r="B6" s="25" t="n"/>
      <c r="C6" s="25" t="n"/>
      <c r="D6" s="25" t="n"/>
      <c r="E6" s="25" t="n"/>
      <c r="F6" s="25" t="n"/>
      <c r="G6" s="40">
        <f>IF(COUNT(D6:F6)=3,AVERAGE(D6:F6),"")</f>
        <v/>
      </c>
      <c r="H6" s="25" t="n"/>
      <c r="I6" s="21" t="n"/>
      <c r="J6" s="21" t="n"/>
    </row>
    <row r="7">
      <c r="A7" s="25" t="n"/>
      <c r="B7" s="25" t="n"/>
      <c r="C7" s="25" t="n"/>
      <c r="D7" s="25" t="n"/>
      <c r="E7" s="25" t="n"/>
      <c r="F7" s="25" t="n"/>
      <c r="G7" s="40">
        <f>IF(COUNT(D7:F7)=3,AVERAGE(D7:F7),"")</f>
        <v/>
      </c>
      <c r="H7" s="25" t="n"/>
      <c r="I7" s="21" t="n"/>
      <c r="J7" s="21" t="n"/>
    </row>
    <row r="8">
      <c r="A8" s="25" t="n"/>
      <c r="B8" s="25" t="n"/>
      <c r="C8" s="25" t="n"/>
      <c r="D8" s="25" t="n"/>
      <c r="E8" s="25" t="n"/>
      <c r="F8" s="25" t="n"/>
      <c r="G8" s="40">
        <f>IF(COUNT(D8:F8)=3,AVERAGE(D8:F8),"")</f>
        <v/>
      </c>
      <c r="H8" s="25" t="n"/>
      <c r="I8" s="21" t="n"/>
      <c r="J8" s="21" t="n"/>
    </row>
    <row r="9">
      <c r="A9" s="25" t="n"/>
      <c r="B9" s="25" t="n"/>
      <c r="C9" s="25" t="n"/>
      <c r="D9" s="25" t="n"/>
      <c r="E9" s="25" t="n"/>
      <c r="F9" s="25" t="n"/>
      <c r="G9" s="40">
        <f>IF(COUNT(D9:F9)=3,AVERAGE(D9:F9),"")</f>
        <v/>
      </c>
      <c r="H9" s="25" t="n"/>
      <c r="I9" s="21" t="n"/>
      <c r="J9" s="21" t="n"/>
    </row>
    <row r="10">
      <c r="A10" s="25" t="n"/>
      <c r="B10" s="25" t="n"/>
      <c r="C10" s="25" t="n"/>
      <c r="D10" s="25" t="n"/>
      <c r="E10" s="25" t="n"/>
      <c r="F10" s="25" t="n"/>
      <c r="G10" s="40">
        <f>IF(COUNT(D10:F10)=3,AVERAGE(D10:F10),"")</f>
        <v/>
      </c>
      <c r="H10" s="25" t="n"/>
      <c r="I10" s="21" t="n"/>
      <c r="J10" s="21" t="n"/>
    </row>
    <row r="11">
      <c r="A11" s="25" t="n"/>
      <c r="B11" s="25" t="n"/>
      <c r="C11" s="25" t="n"/>
      <c r="D11" s="25" t="n"/>
      <c r="E11" s="25" t="n"/>
      <c r="F11" s="25" t="n"/>
      <c r="G11" s="40">
        <f>IF(COUNT(D11:F11)=3,AVERAGE(D11:F11),"")</f>
        <v/>
      </c>
      <c r="H11" s="25" t="n"/>
      <c r="I11" s="21" t="n"/>
      <c r="J11" s="21" t="n"/>
    </row>
    <row r="12">
      <c r="A12" s="25" t="n"/>
      <c r="B12" s="25" t="n"/>
      <c r="C12" s="25" t="n"/>
      <c r="D12" s="25" t="n"/>
      <c r="E12" s="25" t="n"/>
      <c r="F12" s="25" t="n"/>
      <c r="G12" s="40">
        <f>IF(COUNT(D12:F12)=3,AVERAGE(D12:F12),"")</f>
        <v/>
      </c>
      <c r="H12" s="25" t="n"/>
      <c r="I12" s="21" t="n"/>
      <c r="J12" s="21" t="n"/>
    </row>
    <row r="13">
      <c r="A13" s="25" t="n"/>
      <c r="B13" s="25" t="n"/>
      <c r="C13" s="25" t="n"/>
      <c r="D13" s="25" t="n"/>
      <c r="E13" s="25" t="n"/>
      <c r="F13" s="25" t="n"/>
      <c r="G13" s="40">
        <f>IF(COUNT(D13:F13)=3,AVERAGE(D13:F13),"")</f>
        <v/>
      </c>
      <c r="H13" s="25" t="n"/>
      <c r="I13" s="21" t="n"/>
      <c r="J13" s="21" t="n"/>
    </row>
    <row r="14">
      <c r="A14" s="25" t="n"/>
      <c r="B14" s="25" t="n"/>
      <c r="C14" s="25" t="n"/>
      <c r="D14" s="25" t="n"/>
      <c r="E14" s="25" t="n"/>
      <c r="F14" s="25" t="n"/>
      <c r="G14" s="40">
        <f>IF(COUNT(D14:F14)=3,AVERAGE(D14:F14),"")</f>
        <v/>
      </c>
      <c r="H14" s="25" t="n"/>
      <c r="I14" s="21" t="n"/>
      <c r="J14" s="21" t="n"/>
    </row>
    <row r="15">
      <c r="A15" s="25" t="n"/>
      <c r="B15" s="25" t="n"/>
      <c r="C15" s="25" t="n"/>
      <c r="D15" s="25" t="n"/>
      <c r="E15" s="25" t="n"/>
      <c r="F15" s="25" t="n"/>
      <c r="G15" s="40">
        <f>IF(COUNT(D15:F15)=3,AVERAGE(D15:F15),"")</f>
        <v/>
      </c>
      <c r="H15" s="25" t="n"/>
      <c r="I15" s="21" t="n"/>
      <c r="J15" s="21" t="n"/>
    </row>
    <row r="16">
      <c r="A16" s="25" t="n"/>
      <c r="B16" s="25" t="n"/>
      <c r="C16" s="25" t="n"/>
      <c r="D16" s="25" t="n"/>
      <c r="E16" s="25" t="n"/>
      <c r="F16" s="25" t="n"/>
      <c r="G16" s="40">
        <f>IF(COUNT(D16:F16)=3,AVERAGE(D16:F16),"")</f>
        <v/>
      </c>
      <c r="H16" s="25" t="n"/>
      <c r="I16" s="21" t="n"/>
      <c r="J16" s="21" t="n"/>
    </row>
    <row r="17">
      <c r="A17" s="25" t="n"/>
      <c r="B17" s="25" t="n"/>
      <c r="C17" s="25" t="n"/>
      <c r="D17" s="25" t="n"/>
      <c r="E17" s="25" t="n"/>
      <c r="F17" s="25" t="n"/>
      <c r="G17" s="40">
        <f>IF(COUNT(D17:F17)=3,AVERAGE(D17:F17),"")</f>
        <v/>
      </c>
      <c r="H17" s="25" t="n"/>
      <c r="I17" s="21" t="n"/>
      <c r="J17" s="21" t="n"/>
    </row>
    <row r="18">
      <c r="A18" s="25" t="n"/>
      <c r="B18" s="25" t="n"/>
      <c r="C18" s="25" t="n"/>
      <c r="D18" s="25" t="n"/>
      <c r="E18" s="25" t="n"/>
      <c r="F18" s="25" t="n"/>
      <c r="G18" s="40">
        <f>IF(COUNT(D18:F18)=3,AVERAGE(D18:F18),"")</f>
        <v/>
      </c>
      <c r="H18" s="25" t="n"/>
      <c r="I18" s="21" t="n"/>
      <c r="J18" s="21" t="n"/>
    </row>
    <row r="19">
      <c r="A19" s="25" t="n"/>
      <c r="B19" s="25" t="n"/>
      <c r="C19" s="25" t="n"/>
      <c r="D19" s="25" t="n"/>
      <c r="E19" s="25" t="n"/>
      <c r="F19" s="25" t="n"/>
      <c r="G19" s="40">
        <f>IF(COUNT(D19:F19)=3,AVERAGE(D19:F19),"")</f>
        <v/>
      </c>
      <c r="H19" s="25" t="n"/>
      <c r="I19" s="21" t="n"/>
      <c r="J19" s="21" t="n"/>
    </row>
    <row r="20">
      <c r="A20" s="25" t="n"/>
      <c r="B20" s="25" t="n"/>
      <c r="C20" s="25" t="n"/>
      <c r="D20" s="25" t="n"/>
      <c r="E20" s="25" t="n"/>
      <c r="F20" s="25" t="n"/>
      <c r="G20" s="40">
        <f>IF(COUNT(D20:F20)=3,AVERAGE(D20:F20),"")</f>
        <v/>
      </c>
      <c r="H20" s="25" t="n"/>
      <c r="I20" s="21" t="n"/>
      <c r="J20" s="21" t="n"/>
    </row>
    <row r="21">
      <c r="A21" s="25" t="n"/>
      <c r="B21" s="25" t="n"/>
      <c r="C21" s="25" t="n"/>
      <c r="D21" s="25" t="n"/>
      <c r="E21" s="25" t="n"/>
      <c r="F21" s="25" t="n"/>
      <c r="G21" s="40">
        <f>IF(COUNT(D21:F21)=3,AVERAGE(D21:F21),"")</f>
        <v/>
      </c>
      <c r="H21" s="25" t="n"/>
      <c r="I21" s="21" t="n"/>
      <c r="J21" s="21" t="n"/>
    </row>
    <row r="22">
      <c r="A22" s="25" t="n"/>
      <c r="B22" s="25" t="n"/>
      <c r="C22" s="25" t="n"/>
      <c r="D22" s="25" t="n"/>
      <c r="E22" s="25" t="n"/>
      <c r="F22" s="25" t="n"/>
      <c r="G22" s="40">
        <f>IF(COUNT(D22:F22)=3,AVERAGE(D22:F22),"")</f>
        <v/>
      </c>
      <c r="H22" s="25" t="n"/>
      <c r="I22" s="21" t="n"/>
      <c r="J22" s="21" t="n"/>
    </row>
    <row r="23">
      <c r="A23" s="25" t="n"/>
      <c r="B23" s="25" t="n"/>
      <c r="C23" s="25" t="n"/>
      <c r="D23" s="25" t="n"/>
      <c r="E23" s="25" t="n"/>
      <c r="F23" s="25" t="n"/>
      <c r="G23" s="40">
        <f>IF(COUNT(D23:F23)=3,AVERAGE(D23:F23),"")</f>
        <v/>
      </c>
      <c r="H23" s="25" t="n"/>
      <c r="I23" s="21" t="n"/>
      <c r="J23" s="21" t="n"/>
    </row>
    <row r="24">
      <c r="A24" s="25" t="n"/>
      <c r="B24" s="25" t="n"/>
      <c r="C24" s="25" t="n"/>
      <c r="D24" s="25" t="n"/>
      <c r="E24" s="25" t="n"/>
      <c r="F24" s="25" t="n"/>
      <c r="G24" s="40">
        <f>IF(COUNT(D24:F24)=3,AVERAGE(D24:F24),"")</f>
        <v/>
      </c>
      <c r="H24" s="25" t="n"/>
      <c r="I24" s="21" t="n"/>
      <c r="J24" s="21" t="n"/>
    </row>
    <row r="25">
      <c r="A25" s="25" t="n"/>
      <c r="B25" s="25" t="n"/>
      <c r="C25" s="25" t="n"/>
      <c r="D25" s="25" t="n"/>
      <c r="E25" s="25" t="n"/>
      <c r="F25" s="25" t="n"/>
      <c r="G25" s="40">
        <f>IF(COUNT(D25:F25)=3,AVERAGE(D25:F25),"")</f>
        <v/>
      </c>
      <c r="H25" s="25" t="n"/>
      <c r="I25" s="21" t="n"/>
      <c r="J25" s="21" t="n"/>
    </row>
    <row r="26">
      <c r="A26" s="25" t="n"/>
      <c r="B26" s="25" t="n"/>
      <c r="C26" s="25" t="n"/>
      <c r="D26" s="25" t="n"/>
      <c r="E26" s="25" t="n"/>
      <c r="F26" s="25" t="n"/>
      <c r="G26" s="40">
        <f>IF(COUNT(D26:F26)=3,AVERAGE(D26:F26),"")</f>
        <v/>
      </c>
      <c r="H26" s="25" t="n"/>
      <c r="I26" s="21" t="n"/>
      <c r="J26" s="21" t="n"/>
    </row>
    <row r="27">
      <c r="A27" s="25" t="n"/>
      <c r="B27" s="25" t="n"/>
      <c r="C27" s="25" t="n"/>
      <c r="D27" s="25" t="n"/>
      <c r="E27" s="25" t="n"/>
      <c r="F27" s="25" t="n"/>
      <c r="G27" s="40">
        <f>IF(COUNT(D27:F27)=3,AVERAGE(D27:F27),"")</f>
        <v/>
      </c>
      <c r="H27" s="25" t="n"/>
      <c r="I27" s="21" t="n"/>
      <c r="J27" s="21" t="n"/>
    </row>
    <row r="28">
      <c r="A28" s="25" t="n"/>
      <c r="B28" s="25" t="n"/>
      <c r="C28" s="25" t="n"/>
      <c r="D28" s="25" t="n"/>
      <c r="E28" s="25" t="n"/>
      <c r="F28" s="25" t="n"/>
      <c r="G28" s="40">
        <f>IF(COUNT(D28:F28)=3,AVERAGE(D28:F28),"")</f>
        <v/>
      </c>
      <c r="H28" s="25" t="n"/>
      <c r="I28" s="21" t="n"/>
      <c r="J28" s="21" t="n"/>
    </row>
    <row r="29">
      <c r="A29" s="25" t="n"/>
      <c r="B29" s="25" t="n"/>
      <c r="C29" s="25" t="n"/>
      <c r="D29" s="25" t="n"/>
      <c r="E29" s="25" t="n"/>
      <c r="F29" s="25" t="n"/>
      <c r="G29" s="40">
        <f>IF(COUNT(D29:F29)=3,AVERAGE(D29:F29),"")</f>
        <v/>
      </c>
      <c r="H29" s="25" t="n"/>
      <c r="I29" s="21" t="n"/>
      <c r="J29" s="21" t="n"/>
    </row>
    <row r="30">
      <c r="A30" s="25" t="n"/>
      <c r="B30" s="25" t="n"/>
      <c r="C30" s="25" t="n"/>
      <c r="D30" s="25" t="n"/>
      <c r="E30" s="25" t="n"/>
      <c r="F30" s="25" t="n"/>
      <c r="G30" s="40">
        <f>IF(COUNT(D30:F30)=3,AVERAGE(D30:F30),"")</f>
        <v/>
      </c>
      <c r="H30" s="25" t="n"/>
      <c r="I30" s="21" t="n"/>
      <c r="J30" s="21" t="n"/>
    </row>
    <row r="31">
      <c r="A31" s="25" t="n"/>
      <c r="B31" s="25" t="n"/>
      <c r="C31" s="25" t="n"/>
      <c r="D31" s="25" t="n"/>
      <c r="E31" s="25" t="n"/>
      <c r="F31" s="25" t="n"/>
      <c r="G31" s="40">
        <f>IF(COUNT(D31:F31)=3,AVERAGE(D31:F31),"")</f>
        <v/>
      </c>
      <c r="H31" s="25" t="n"/>
      <c r="I31" s="21" t="n"/>
      <c r="J31" s="21" t="n"/>
    </row>
    <row r="32">
      <c r="A32" s="25" t="n"/>
      <c r="B32" s="25" t="n"/>
      <c r="C32" s="25" t="n"/>
      <c r="D32" s="25" t="n"/>
      <c r="E32" s="25" t="n"/>
      <c r="F32" s="25" t="n"/>
      <c r="G32" s="40">
        <f>IF(COUNT(D32:F32)=3,AVERAGE(D32:F32),"")</f>
        <v/>
      </c>
      <c r="H32" s="25" t="n"/>
      <c r="I32" s="21" t="n"/>
      <c r="J32" s="21" t="n"/>
    </row>
    <row r="33">
      <c r="A33" s="25" t="n"/>
      <c r="B33" s="25" t="n"/>
      <c r="C33" s="25" t="n"/>
      <c r="D33" s="25" t="n"/>
      <c r="E33" s="25" t="n"/>
      <c r="F33" s="25" t="n"/>
      <c r="G33" s="40">
        <f>IF(COUNT(D33:F33)=3,AVERAGE(D33:F33),"")</f>
        <v/>
      </c>
      <c r="H33" s="25" t="n"/>
      <c r="I33" s="21" t="n"/>
      <c r="J33" s="21" t="n"/>
    </row>
    <row r="34">
      <c r="A34" s="25" t="n"/>
      <c r="B34" s="25" t="n"/>
      <c r="C34" s="25" t="n"/>
      <c r="D34" s="25" t="n"/>
      <c r="E34" s="25" t="n"/>
      <c r="F34" s="25" t="n"/>
      <c r="G34" s="40">
        <f>IF(COUNT(D34:F34)=3,AVERAGE(D34:F34),"")</f>
        <v/>
      </c>
      <c r="H34" s="25" t="n"/>
      <c r="I34" s="21" t="n"/>
      <c r="J34" s="21" t="n"/>
    </row>
    <row r="35">
      <c r="A35" s="25" t="n"/>
      <c r="B35" s="25" t="n"/>
      <c r="C35" s="25" t="n"/>
      <c r="D35" s="25" t="n"/>
      <c r="E35" s="25" t="n"/>
      <c r="F35" s="25" t="n"/>
      <c r="G35" s="40">
        <f>IF(COUNT(D35:F35)=3,AVERAGE(D35:F35),"")</f>
        <v/>
      </c>
      <c r="H35" s="25" t="n"/>
      <c r="I35" s="21" t="n"/>
      <c r="J35" s="21" t="n"/>
    </row>
    <row r="36">
      <c r="A36" s="25" t="n"/>
      <c r="B36" s="25" t="n"/>
      <c r="C36" s="25" t="n"/>
      <c r="D36" s="25" t="n"/>
      <c r="E36" s="25" t="n"/>
      <c r="F36" s="25" t="n"/>
      <c r="G36" s="40">
        <f>IF(COUNT(D36:F36)=3,AVERAGE(D36:F36),"")</f>
        <v/>
      </c>
      <c r="H36" s="25" t="n"/>
      <c r="I36" s="21" t="n"/>
      <c r="J36" s="21" t="n"/>
    </row>
    <row r="37">
      <c r="A37" s="25" t="n"/>
      <c r="B37" s="25" t="n"/>
      <c r="C37" s="25" t="n"/>
      <c r="D37" s="25" t="n"/>
      <c r="E37" s="25" t="n"/>
      <c r="F37" s="25" t="n"/>
      <c r="G37" s="40">
        <f>IF(COUNT(D37:F37)=3,AVERAGE(D37:F37),"")</f>
        <v/>
      </c>
      <c r="H37" s="25" t="n"/>
      <c r="I37" s="21" t="n"/>
      <c r="J37" s="21" t="n"/>
    </row>
    <row r="38">
      <c r="A38" s="25" t="n"/>
      <c r="B38" s="25" t="n"/>
      <c r="C38" s="25" t="n"/>
      <c r="D38" s="25" t="n"/>
      <c r="E38" s="25" t="n"/>
      <c r="F38" s="25" t="n"/>
      <c r="G38" s="40">
        <f>IF(COUNT(D38:F38)=3,AVERAGE(D38:F38),"")</f>
        <v/>
      </c>
      <c r="H38" s="25" t="n"/>
      <c r="I38" s="21" t="n"/>
      <c r="J38" s="21" t="n"/>
    </row>
    <row r="39">
      <c r="A39" s="25" t="n"/>
      <c r="B39" s="25" t="n"/>
      <c r="C39" s="25" t="n"/>
      <c r="D39" s="25" t="n"/>
      <c r="E39" s="25" t="n"/>
      <c r="F39" s="25" t="n"/>
      <c r="G39" s="40">
        <f>IF(COUNT(D39:F39)=3,AVERAGE(D39:F39),"")</f>
        <v/>
      </c>
      <c r="H39" s="25" t="n"/>
      <c r="I39" s="21" t="n"/>
      <c r="J39" s="21" t="n"/>
    </row>
    <row r="40">
      <c r="A40" s="25" t="n"/>
      <c r="B40" s="25" t="n"/>
      <c r="C40" s="25" t="n"/>
      <c r="D40" s="25" t="n"/>
      <c r="E40" s="25" t="n"/>
      <c r="F40" s="25" t="n"/>
      <c r="G40" s="40">
        <f>IF(COUNT(D40:F40)=3,AVERAGE(D40:F40),"")</f>
        <v/>
      </c>
      <c r="H40" s="25" t="n"/>
      <c r="I40" s="21" t="n"/>
      <c r="J40" s="21" t="n"/>
    </row>
    <row r="41">
      <c r="A41" s="25" t="n"/>
      <c r="B41" s="25" t="n"/>
      <c r="C41" s="25" t="n"/>
      <c r="D41" s="25" t="n"/>
      <c r="E41" s="25" t="n"/>
      <c r="F41" s="25" t="n"/>
      <c r="G41" s="40">
        <f>IF(COUNT(D41:F41)=3,AVERAGE(D41:F41),"")</f>
        <v/>
      </c>
      <c r="H41" s="25" t="n"/>
      <c r="I41" s="21" t="n"/>
      <c r="J41" s="21" t="n"/>
    </row>
    <row r="42">
      <c r="A42" s="25" t="n"/>
      <c r="B42" s="25" t="n"/>
      <c r="C42" s="25" t="n"/>
      <c r="D42" s="25" t="n"/>
      <c r="E42" s="25" t="n"/>
      <c r="F42" s="25" t="n"/>
      <c r="G42" s="40">
        <f>IF(COUNT(D42:F42)=3,AVERAGE(D42:F42),"")</f>
        <v/>
      </c>
      <c r="H42" s="25" t="n"/>
      <c r="I42" s="21" t="n"/>
      <c r="J42" s="21" t="n"/>
    </row>
    <row r="43">
      <c r="A43" s="25" t="n"/>
      <c r="B43" s="25" t="n"/>
      <c r="C43" s="25" t="n"/>
      <c r="D43" s="25" t="n"/>
      <c r="E43" s="25" t="n"/>
      <c r="F43" s="25" t="n"/>
      <c r="G43" s="40">
        <f>IF(COUNT(D43:F43)=3,AVERAGE(D43:F43),"")</f>
        <v/>
      </c>
      <c r="H43" s="25" t="n"/>
      <c r="I43" s="21" t="n"/>
      <c r="J43" s="21" t="n"/>
    </row>
    <row r="44">
      <c r="A44" s="25" t="n"/>
      <c r="B44" s="25" t="n"/>
      <c r="C44" s="25" t="n"/>
      <c r="D44" s="25" t="n"/>
      <c r="E44" s="25" t="n"/>
      <c r="F44" s="25" t="n"/>
      <c r="G44" s="40">
        <f>IF(COUNT(D44:F44)=3,AVERAGE(D44:F44),"")</f>
        <v/>
      </c>
      <c r="H44" s="25" t="n"/>
      <c r="I44" s="21" t="n"/>
      <c r="J44" s="21" t="n"/>
    </row>
    <row r="45">
      <c r="A45" s="25" t="n"/>
      <c r="B45" s="25" t="n"/>
      <c r="C45" s="25" t="n"/>
      <c r="D45" s="25" t="n"/>
      <c r="E45" s="25" t="n"/>
      <c r="F45" s="25" t="n"/>
      <c r="G45" s="40">
        <f>IF(COUNT(D45:F45)=3,AVERAGE(D45:F45),"")</f>
        <v/>
      </c>
      <c r="H45" s="25" t="n"/>
      <c r="I45" s="21" t="n"/>
      <c r="J45" s="21" t="n"/>
    </row>
    <row r="46">
      <c r="A46" s="25" t="n"/>
      <c r="B46" s="25" t="n"/>
      <c r="C46" s="25" t="n"/>
      <c r="D46" s="25" t="n"/>
      <c r="E46" s="25" t="n"/>
      <c r="F46" s="25" t="n"/>
      <c r="G46" s="40">
        <f>IF(COUNT(D46:F46)=3,AVERAGE(D46:F46),"")</f>
        <v/>
      </c>
      <c r="H46" s="25" t="n"/>
      <c r="I46" s="21" t="n"/>
      <c r="J46" s="21" t="n"/>
    </row>
    <row r="47">
      <c r="A47" s="25" t="n"/>
      <c r="B47" s="25" t="n"/>
      <c r="C47" s="25" t="n"/>
      <c r="D47" s="25" t="n"/>
      <c r="E47" s="25" t="n"/>
      <c r="F47" s="25" t="n"/>
      <c r="G47" s="40">
        <f>IF(COUNT(D47:F47)=3,AVERAGE(D47:F47),"")</f>
        <v/>
      </c>
      <c r="H47" s="25" t="n"/>
      <c r="I47" s="21" t="n"/>
      <c r="J47" s="21" t="n"/>
    </row>
    <row r="48">
      <c r="A48" s="25" t="n"/>
      <c r="B48" s="25" t="n"/>
      <c r="C48" s="25" t="n"/>
      <c r="D48" s="25" t="n"/>
      <c r="E48" s="25" t="n"/>
      <c r="F48" s="25" t="n"/>
      <c r="G48" s="40">
        <f>IF(COUNT(D48:F48)=3,AVERAGE(D48:F48),"")</f>
        <v/>
      </c>
      <c r="H48" s="25" t="n"/>
      <c r="I48" s="21" t="n"/>
      <c r="J48" s="21" t="n"/>
    </row>
    <row r="49">
      <c r="A49" s="25" t="n"/>
      <c r="B49" s="25" t="n"/>
      <c r="C49" s="25" t="n"/>
      <c r="D49" s="25" t="n"/>
      <c r="E49" s="25" t="n"/>
      <c r="F49" s="25" t="n"/>
      <c r="G49" s="40">
        <f>IF(COUNT(D49:F49)=3,AVERAGE(D49:F49),"")</f>
        <v/>
      </c>
      <c r="H49" s="25" t="n"/>
      <c r="I49" s="21" t="n"/>
      <c r="J49" s="21" t="n"/>
    </row>
    <row r="50">
      <c r="A50" s="25" t="n"/>
      <c r="B50" s="25" t="n"/>
      <c r="C50" s="25" t="n"/>
      <c r="D50" s="25" t="n"/>
      <c r="E50" s="25" t="n"/>
      <c r="F50" s="25" t="n"/>
      <c r="G50" s="40">
        <f>IF(COUNT(D50:F50)=3,AVERAGE(D50:F50),"")</f>
        <v/>
      </c>
      <c r="H50" s="25" t="n"/>
      <c r="I50" s="21" t="n"/>
      <c r="J50" s="21" t="n"/>
    </row>
    <row r="51">
      <c r="A51" s="25" t="n"/>
      <c r="B51" s="25" t="n"/>
      <c r="C51" s="25" t="n"/>
      <c r="D51" s="25" t="n"/>
      <c r="E51" s="25" t="n"/>
      <c r="F51" s="25" t="n"/>
      <c r="G51" s="40">
        <f>IF(COUNT(D51:F51)=3,AVERAGE(D51:F51),"")</f>
        <v/>
      </c>
      <c r="H51" s="25" t="n"/>
      <c r="I51" s="21" t="n"/>
      <c r="J51" s="21" t="n"/>
    </row>
    <row r="52">
      <c r="A52" s="25" t="n"/>
      <c r="B52" s="25" t="n"/>
      <c r="C52" s="25" t="n"/>
      <c r="D52" s="25" t="n"/>
      <c r="E52" s="25" t="n"/>
      <c r="F52" s="25" t="n"/>
      <c r="G52" s="40">
        <f>IF(COUNT(D52:F52)=3,AVERAGE(D52:F52),"")</f>
        <v/>
      </c>
      <c r="H52" s="25" t="n"/>
      <c r="I52" s="21" t="n"/>
      <c r="J52" s="21" t="n"/>
    </row>
    <row r="53">
      <c r="A53" s="25" t="n"/>
      <c r="B53" s="25" t="n"/>
      <c r="C53" s="25" t="n"/>
      <c r="D53" s="25" t="n"/>
      <c r="E53" s="25" t="n"/>
      <c r="F53" s="25" t="n"/>
      <c r="G53" s="40">
        <f>IF(COUNT(D53:F53)=3,AVERAGE(D53:F53),"")</f>
        <v/>
      </c>
      <c r="H53" s="25" t="n"/>
      <c r="I53" s="21" t="n"/>
      <c r="J53" s="21" t="n"/>
    </row>
    <row r="54">
      <c r="A54" s="25" t="n"/>
      <c r="B54" s="25" t="n"/>
      <c r="C54" s="25" t="n"/>
      <c r="D54" s="25" t="n"/>
      <c r="E54" s="25" t="n"/>
      <c r="F54" s="25" t="n"/>
      <c r="G54" s="40">
        <f>IF(COUNT(D54:F54)=3,AVERAGE(D54:F54),"")</f>
        <v/>
      </c>
      <c r="H54" s="25" t="n"/>
      <c r="I54" s="21" t="n"/>
      <c r="J54" s="21" t="n"/>
    </row>
    <row r="55">
      <c r="A55" s="25" t="n"/>
      <c r="B55" s="25" t="n"/>
      <c r="C55" s="25" t="n"/>
      <c r="D55" s="25" t="n"/>
      <c r="E55" s="25" t="n"/>
      <c r="F55" s="25" t="n"/>
      <c r="G55" s="40">
        <f>IF(COUNT(D55:F55)=3,AVERAGE(D55:F55),"")</f>
        <v/>
      </c>
      <c r="H55" s="25" t="n"/>
      <c r="I55" s="21" t="n"/>
      <c r="J55" s="21" t="n"/>
    </row>
    <row r="56">
      <c r="A56" s="25" t="n"/>
      <c r="B56" s="25" t="n"/>
      <c r="C56" s="25" t="n"/>
      <c r="D56" s="25" t="n"/>
      <c r="E56" s="25" t="n"/>
      <c r="F56" s="25" t="n"/>
      <c r="G56" s="40">
        <f>IF(COUNT(D56:F56)=3,AVERAGE(D56:F56),"")</f>
        <v/>
      </c>
      <c r="H56" s="25" t="n"/>
      <c r="I56" s="21" t="n"/>
      <c r="J56" s="21" t="n"/>
    </row>
    <row r="57">
      <c r="A57" s="25" t="n"/>
      <c r="B57" s="25" t="n"/>
      <c r="C57" s="25" t="n"/>
      <c r="D57" s="25" t="n"/>
      <c r="E57" s="25" t="n"/>
      <c r="F57" s="25" t="n"/>
      <c r="G57" s="40">
        <f>IF(COUNT(D57:F57)=3,AVERAGE(D57:F57),"")</f>
        <v/>
      </c>
      <c r="H57" s="25" t="n"/>
      <c r="I57" s="21" t="n"/>
      <c r="J57" s="21" t="n"/>
    </row>
    <row r="58">
      <c r="A58" s="25" t="n"/>
      <c r="B58" s="25" t="n"/>
      <c r="C58" s="25" t="n"/>
      <c r="D58" s="25" t="n"/>
      <c r="E58" s="25" t="n"/>
      <c r="F58" s="25" t="n"/>
      <c r="G58" s="40">
        <f>IF(COUNT(D58:F58)=3,AVERAGE(D58:F58),"")</f>
        <v/>
      </c>
      <c r="H58" s="25" t="n"/>
      <c r="I58" s="21" t="n"/>
      <c r="J58" s="21" t="n"/>
    </row>
    <row r="59">
      <c r="A59" s="25" t="n"/>
      <c r="B59" s="25" t="n"/>
      <c r="C59" s="25" t="n"/>
      <c r="D59" s="25" t="n"/>
      <c r="E59" s="25" t="n"/>
      <c r="F59" s="25" t="n"/>
      <c r="G59" s="40">
        <f>IF(COUNT(D59:F59)=3,AVERAGE(D59:F59),"")</f>
        <v/>
      </c>
      <c r="H59" s="25" t="n"/>
      <c r="I59" s="21" t="n"/>
      <c r="J59" s="21" t="n"/>
    </row>
    <row r="60">
      <c r="A60" s="25" t="n"/>
      <c r="B60" s="25" t="n"/>
      <c r="C60" s="25" t="n"/>
      <c r="D60" s="25" t="n"/>
      <c r="E60" s="25" t="n"/>
      <c r="F60" s="25" t="n"/>
      <c r="G60" s="40">
        <f>IF(COUNT(D60:F60)=3,AVERAGE(D60:F60),"")</f>
        <v/>
      </c>
      <c r="H60" s="25" t="n"/>
      <c r="I60" s="21" t="n"/>
      <c r="J60" s="21" t="n"/>
    </row>
    <row r="61">
      <c r="A61" s="25" t="n"/>
      <c r="B61" s="25" t="n"/>
      <c r="C61" s="25" t="n"/>
      <c r="D61" s="25" t="n"/>
      <c r="E61" s="25" t="n"/>
      <c r="F61" s="25" t="n"/>
      <c r="G61" s="40">
        <f>IF(COUNT(D61:F61)=3,AVERAGE(D61:F61),"")</f>
        <v/>
      </c>
      <c r="H61" s="25" t="n"/>
      <c r="I61" s="21" t="n"/>
      <c r="J61" s="21" t="n"/>
    </row>
    <row r="62">
      <c r="A62" s="25" t="n"/>
      <c r="B62" s="25" t="n"/>
      <c r="C62" s="25" t="n"/>
      <c r="D62" s="25" t="n"/>
      <c r="E62" s="25" t="n"/>
      <c r="F62" s="25" t="n"/>
      <c r="G62" s="40">
        <f>IF(COUNT(D62:F62)=3,AVERAGE(D62:F62),"")</f>
        <v/>
      </c>
      <c r="H62" s="25" t="n"/>
      <c r="I62" s="21" t="n"/>
      <c r="J62" s="21" t="n"/>
    </row>
    <row r="63">
      <c r="A63" s="25" t="n"/>
      <c r="B63" s="25" t="n"/>
      <c r="C63" s="25" t="n"/>
      <c r="D63" s="25" t="n"/>
      <c r="E63" s="25" t="n"/>
      <c r="F63" s="25" t="n"/>
      <c r="G63" s="40">
        <f>IF(COUNT(D63:F63)=3,AVERAGE(D63:F63),"")</f>
        <v/>
      </c>
      <c r="H63" s="25" t="n"/>
      <c r="I63" s="21" t="n"/>
      <c r="J63" s="21" t="n"/>
    </row>
    <row r="64">
      <c r="A64" s="25" t="n"/>
      <c r="B64" s="25" t="n"/>
      <c r="C64" s="25" t="n"/>
      <c r="D64" s="25" t="n"/>
      <c r="E64" s="25" t="n"/>
      <c r="F64" s="25" t="n"/>
      <c r="G64" s="40">
        <f>IF(COUNT(D64:F64)=3,AVERAGE(D64:F64),"")</f>
        <v/>
      </c>
      <c r="H64" s="25" t="n"/>
      <c r="I64" s="21" t="n"/>
      <c r="J64" s="21" t="n"/>
    </row>
    <row r="65">
      <c r="A65" s="25" t="n"/>
      <c r="B65" s="25" t="n"/>
      <c r="C65" s="25" t="n"/>
      <c r="D65" s="25" t="n"/>
      <c r="E65" s="25" t="n"/>
      <c r="F65" s="25" t="n"/>
      <c r="G65" s="40">
        <f>IF(COUNT(D65:F65)=3,AVERAGE(D65:F65),"")</f>
        <v/>
      </c>
      <c r="H65" s="25" t="n"/>
      <c r="I65" s="21" t="n"/>
      <c r="J65" s="21" t="n"/>
    </row>
    <row r="66">
      <c r="A66" s="25" t="n"/>
      <c r="B66" s="25" t="n"/>
      <c r="C66" s="25" t="n"/>
      <c r="D66" s="25" t="n"/>
      <c r="E66" s="25" t="n"/>
      <c r="F66" s="25" t="n"/>
      <c r="G66" s="40">
        <f>IF(COUNT(D66:F66)=3,AVERAGE(D66:F66),"")</f>
        <v/>
      </c>
      <c r="H66" s="25" t="n"/>
      <c r="I66" s="21" t="n"/>
      <c r="J66" s="21" t="n"/>
    </row>
    <row r="67">
      <c r="A67" s="25" t="n"/>
      <c r="B67" s="25" t="n"/>
      <c r="C67" s="25" t="n"/>
      <c r="D67" s="25" t="n"/>
      <c r="E67" s="25" t="n"/>
      <c r="F67" s="25" t="n"/>
      <c r="G67" s="40">
        <f>IF(COUNT(D67:F67)=3,AVERAGE(D67:F67),"")</f>
        <v/>
      </c>
      <c r="H67" s="25" t="n"/>
      <c r="I67" s="21" t="n"/>
      <c r="J67" s="21" t="n"/>
    </row>
    <row r="68">
      <c r="A68" s="25" t="n"/>
      <c r="B68" s="25" t="n"/>
      <c r="C68" s="25" t="n"/>
      <c r="D68" s="25" t="n"/>
      <c r="E68" s="25" t="n"/>
      <c r="F68" s="25" t="n"/>
      <c r="G68" s="40">
        <f>IF(COUNT(D68:F68)=3,AVERAGE(D68:F68),"")</f>
        <v/>
      </c>
      <c r="H68" s="25" t="n"/>
      <c r="I68" s="21" t="n"/>
      <c r="J68" s="21" t="n"/>
    </row>
    <row r="69">
      <c r="A69" s="25" t="n"/>
      <c r="B69" s="25" t="n"/>
      <c r="C69" s="25" t="n"/>
      <c r="D69" s="25" t="n"/>
      <c r="E69" s="25" t="n"/>
      <c r="F69" s="25" t="n"/>
      <c r="G69" s="40">
        <f>IF(COUNT(D69:F69)=3,AVERAGE(D69:F69),"")</f>
        <v/>
      </c>
      <c r="H69" s="25" t="n"/>
      <c r="I69" s="21" t="n"/>
      <c r="J69" s="21" t="n"/>
    </row>
    <row r="70">
      <c r="A70" s="25" t="n"/>
      <c r="B70" s="25" t="n"/>
      <c r="C70" s="25" t="n"/>
      <c r="D70" s="25" t="n"/>
      <c r="E70" s="25" t="n"/>
      <c r="F70" s="25" t="n"/>
      <c r="G70" s="40">
        <f>IF(COUNT(D70:F70)=3,AVERAGE(D70:F70),"")</f>
        <v/>
      </c>
      <c r="H70" s="25" t="n"/>
      <c r="I70" s="21" t="n"/>
      <c r="J70" s="21" t="n"/>
    </row>
    <row r="71">
      <c r="A71" s="25" t="n"/>
      <c r="B71" s="25" t="n"/>
      <c r="C71" s="25" t="n"/>
      <c r="D71" s="25" t="n"/>
      <c r="E71" s="25" t="n"/>
      <c r="F71" s="25" t="n"/>
      <c r="G71" s="40">
        <f>IF(COUNT(D71:F71)=3,AVERAGE(D71:F71),"")</f>
        <v/>
      </c>
      <c r="H71" s="25" t="n"/>
      <c r="I71" s="21" t="n"/>
      <c r="J71" s="21" t="n"/>
    </row>
    <row r="72">
      <c r="A72" s="25" t="n"/>
      <c r="B72" s="25" t="n"/>
      <c r="C72" s="25" t="n"/>
      <c r="D72" s="25" t="n"/>
      <c r="E72" s="25" t="n"/>
      <c r="F72" s="25" t="n"/>
      <c r="G72" s="40">
        <f>IF(COUNT(D72:F72)=3,AVERAGE(D72:F72),"")</f>
        <v/>
      </c>
      <c r="H72" s="25" t="n"/>
      <c r="I72" s="21" t="n"/>
      <c r="J72" s="21" t="n"/>
    </row>
    <row r="73">
      <c r="A73" s="25" t="n"/>
      <c r="B73" s="25" t="n"/>
      <c r="C73" s="25" t="n"/>
      <c r="D73" s="25" t="n"/>
      <c r="E73" s="25" t="n"/>
      <c r="F73" s="25" t="n"/>
      <c r="G73" s="40">
        <f>IF(COUNT(D73:F73)=3,AVERAGE(D73:F73),"")</f>
        <v/>
      </c>
      <c r="H73" s="25" t="n"/>
      <c r="I73" s="21" t="n"/>
      <c r="J73" s="21" t="n"/>
    </row>
    <row r="74">
      <c r="A74" s="25" t="n"/>
      <c r="B74" s="25" t="n"/>
      <c r="C74" s="25" t="n"/>
      <c r="D74" s="25" t="n"/>
      <c r="E74" s="25" t="n"/>
      <c r="F74" s="25" t="n"/>
      <c r="G74" s="40">
        <f>IF(COUNT(D74:F74)=3,AVERAGE(D74:F74),"")</f>
        <v/>
      </c>
      <c r="H74" s="25" t="n"/>
      <c r="I74" s="21" t="n"/>
      <c r="J74" s="21" t="n"/>
    </row>
    <row r="75">
      <c r="A75" s="25" t="n"/>
      <c r="B75" s="25" t="n"/>
      <c r="C75" s="25" t="n"/>
      <c r="D75" s="25" t="n"/>
      <c r="E75" s="25" t="n"/>
      <c r="F75" s="25" t="n"/>
      <c r="G75" s="40">
        <f>IF(COUNT(D75:F75)=3,AVERAGE(D75:F75),"")</f>
        <v/>
      </c>
      <c r="H75" s="25" t="n"/>
      <c r="I75" s="21" t="n"/>
      <c r="J75" s="21" t="n"/>
    </row>
    <row r="76">
      <c r="A76" s="25" t="n"/>
      <c r="B76" s="25" t="n"/>
      <c r="C76" s="25" t="n"/>
      <c r="D76" s="25" t="n"/>
      <c r="E76" s="25" t="n"/>
      <c r="F76" s="25" t="n"/>
      <c r="G76" s="40">
        <f>IF(COUNT(D76:F76)=3,AVERAGE(D76:F76),"")</f>
        <v/>
      </c>
      <c r="H76" s="25" t="n"/>
      <c r="I76" s="21" t="n"/>
      <c r="J76" s="21" t="n"/>
    </row>
    <row r="77">
      <c r="A77" s="25" t="n"/>
      <c r="B77" s="25" t="n"/>
      <c r="C77" s="25" t="n"/>
      <c r="D77" s="25" t="n"/>
      <c r="E77" s="25" t="n"/>
      <c r="F77" s="25" t="n"/>
      <c r="G77" s="40">
        <f>IF(COUNT(D77:F77)=3,AVERAGE(D77:F77),"")</f>
        <v/>
      </c>
      <c r="H77" s="25" t="n"/>
      <c r="I77" s="21" t="n"/>
      <c r="J77" s="21" t="n"/>
    </row>
    <row r="78">
      <c r="A78" s="25" t="n"/>
      <c r="B78" s="25" t="n"/>
      <c r="C78" s="25" t="n"/>
      <c r="D78" s="25" t="n"/>
      <c r="E78" s="25" t="n"/>
      <c r="F78" s="25" t="n"/>
      <c r="G78" s="40">
        <f>IF(COUNT(D78:F78)=3,AVERAGE(D78:F78),"")</f>
        <v/>
      </c>
      <c r="H78" s="25" t="n"/>
      <c r="I78" s="21" t="n"/>
      <c r="J78" s="21" t="n"/>
    </row>
    <row r="79">
      <c r="A79" s="25" t="n"/>
      <c r="B79" s="25" t="n"/>
      <c r="C79" s="25" t="n"/>
      <c r="D79" s="25" t="n"/>
      <c r="E79" s="25" t="n"/>
      <c r="F79" s="25" t="n"/>
      <c r="G79" s="40">
        <f>IF(COUNT(D79:F79)=3,AVERAGE(D79:F79),"")</f>
        <v/>
      </c>
      <c r="H79" s="25" t="n"/>
      <c r="I79" s="21" t="n"/>
      <c r="J79" s="21" t="n"/>
    </row>
    <row r="80">
      <c r="A80" s="25" t="n"/>
      <c r="B80" s="25" t="n"/>
      <c r="C80" s="25" t="n"/>
      <c r="D80" s="25" t="n"/>
      <c r="E80" s="25" t="n"/>
      <c r="F80" s="25" t="n"/>
      <c r="G80" s="40">
        <f>IF(COUNT(D80:F80)=3,AVERAGE(D80:F80),"")</f>
        <v/>
      </c>
      <c r="H80" s="25" t="n"/>
      <c r="I80" s="21" t="n"/>
      <c r="J80" s="21" t="n"/>
    </row>
    <row r="81">
      <c r="A81" s="25" t="n"/>
      <c r="B81" s="25" t="n"/>
      <c r="C81" s="25" t="n"/>
      <c r="D81" s="25" t="n"/>
      <c r="E81" s="25" t="n"/>
      <c r="F81" s="25" t="n"/>
      <c r="G81" s="40">
        <f>IF(COUNT(D81:F81)=3,AVERAGE(D81:F81),"")</f>
        <v/>
      </c>
      <c r="H81" s="25" t="n"/>
      <c r="I81" s="21" t="n"/>
      <c r="J81" s="21" t="n"/>
    </row>
    <row r="82">
      <c r="A82" s="25" t="n"/>
      <c r="B82" s="25" t="n"/>
      <c r="C82" s="25" t="n"/>
      <c r="D82" s="25" t="n"/>
      <c r="E82" s="25" t="n"/>
      <c r="F82" s="25" t="n"/>
      <c r="G82" s="40">
        <f>IF(COUNT(D82:F82)=3,AVERAGE(D82:F82),"")</f>
        <v/>
      </c>
      <c r="H82" s="25" t="n"/>
      <c r="I82" s="21" t="n"/>
      <c r="J82" s="21" t="n"/>
    </row>
    <row r="83">
      <c r="A83" s="25" t="n"/>
      <c r="B83" s="25" t="n"/>
      <c r="C83" s="25" t="n"/>
      <c r="D83" s="25" t="n"/>
      <c r="E83" s="25" t="n"/>
      <c r="F83" s="25" t="n"/>
      <c r="G83" s="40">
        <f>IF(COUNT(D83:F83)=3,AVERAGE(D83:F83),"")</f>
        <v/>
      </c>
      <c r="H83" s="25" t="n"/>
      <c r="I83" s="21" t="n"/>
      <c r="J83" s="21" t="n"/>
    </row>
    <row r="84">
      <c r="A84" s="25" t="n"/>
      <c r="B84" s="25" t="n"/>
      <c r="C84" s="25" t="n"/>
      <c r="D84" s="25" t="n"/>
      <c r="E84" s="25" t="n"/>
      <c r="F84" s="25" t="n"/>
      <c r="G84" s="40">
        <f>IF(COUNT(D84:F84)=3,AVERAGE(D84:F84),"")</f>
        <v/>
      </c>
      <c r="H84" s="25" t="n"/>
      <c r="I84" s="21" t="n"/>
      <c r="J84" s="21" t="n"/>
    </row>
    <row r="85">
      <c r="A85" s="25" t="n"/>
      <c r="B85" s="25" t="n"/>
      <c r="C85" s="25" t="n"/>
      <c r="D85" s="25" t="n"/>
      <c r="E85" s="25" t="n"/>
      <c r="F85" s="25" t="n"/>
      <c r="G85" s="40">
        <f>IF(COUNT(D85:F85)=3,AVERAGE(D85:F85),"")</f>
        <v/>
      </c>
      <c r="H85" s="25" t="n"/>
      <c r="I85" s="21" t="n"/>
      <c r="J85" s="21" t="n"/>
    </row>
    <row r="86">
      <c r="A86" s="25" t="n"/>
      <c r="B86" s="25" t="n"/>
      <c r="C86" s="25" t="n"/>
      <c r="D86" s="25" t="n"/>
      <c r="E86" s="25" t="n"/>
      <c r="F86" s="25" t="n"/>
      <c r="G86" s="40">
        <f>IF(COUNT(D86:F86)=3,AVERAGE(D86:F86),"")</f>
        <v/>
      </c>
      <c r="H86" s="25" t="n"/>
      <c r="I86" s="21" t="n"/>
      <c r="J86" s="21" t="n"/>
    </row>
    <row r="87">
      <c r="A87" s="25" t="n"/>
      <c r="B87" s="25" t="n"/>
      <c r="C87" s="25" t="n"/>
      <c r="D87" s="25" t="n"/>
      <c r="E87" s="25" t="n"/>
      <c r="F87" s="25" t="n"/>
      <c r="G87" s="40">
        <f>IF(COUNT(D87:F87)=3,AVERAGE(D87:F87),"")</f>
        <v/>
      </c>
      <c r="H87" s="25" t="n"/>
      <c r="I87" s="21" t="n"/>
      <c r="J87" s="21" t="n"/>
    </row>
    <row r="88">
      <c r="A88" s="25" t="n"/>
      <c r="B88" s="25" t="n"/>
      <c r="C88" s="25" t="n"/>
      <c r="D88" s="25" t="n"/>
      <c r="E88" s="25" t="n"/>
      <c r="F88" s="25" t="n"/>
      <c r="G88" s="40">
        <f>IF(COUNT(D88:F88)=3,AVERAGE(D88:F88),"")</f>
        <v/>
      </c>
      <c r="H88" s="25" t="n"/>
      <c r="I88" s="21" t="n"/>
      <c r="J88" s="21" t="n"/>
    </row>
    <row r="89">
      <c r="A89" s="25" t="n"/>
      <c r="B89" s="25" t="n"/>
      <c r="C89" s="25" t="n"/>
      <c r="D89" s="25" t="n"/>
      <c r="E89" s="25" t="n"/>
      <c r="F89" s="25" t="n"/>
      <c r="G89" s="40">
        <f>IF(COUNT(D89:F89)=3,AVERAGE(D89:F89),"")</f>
        <v/>
      </c>
      <c r="H89" s="25" t="n"/>
      <c r="I89" s="21" t="n"/>
      <c r="J89" s="21" t="n"/>
    </row>
    <row r="90">
      <c r="A90" s="25" t="n"/>
      <c r="B90" s="25" t="n"/>
      <c r="C90" s="25" t="n"/>
      <c r="D90" s="25" t="n"/>
      <c r="E90" s="25" t="n"/>
      <c r="F90" s="25" t="n"/>
      <c r="G90" s="40">
        <f>IF(COUNT(D90:F90)=3,AVERAGE(D90:F90),"")</f>
        <v/>
      </c>
      <c r="H90" s="25" t="n"/>
      <c r="I90" s="21" t="n"/>
      <c r="J90" s="21" t="n"/>
    </row>
    <row r="91">
      <c r="A91" s="25" t="n"/>
      <c r="B91" s="25" t="n"/>
      <c r="C91" s="25" t="n"/>
      <c r="D91" s="25" t="n"/>
      <c r="E91" s="25" t="n"/>
      <c r="F91" s="25" t="n"/>
      <c r="G91" s="40">
        <f>IF(COUNT(D91:F91)=3,AVERAGE(D91:F91),"")</f>
        <v/>
      </c>
      <c r="H91" s="25" t="n"/>
      <c r="I91" s="21" t="n"/>
      <c r="J91" s="21" t="n"/>
    </row>
    <row r="92">
      <c r="A92" s="25" t="n"/>
      <c r="B92" s="25" t="n"/>
      <c r="C92" s="25" t="n"/>
      <c r="D92" s="25" t="n"/>
      <c r="E92" s="25" t="n"/>
      <c r="F92" s="25" t="n"/>
      <c r="G92" s="40">
        <f>IF(COUNT(D92:F92)=3,AVERAGE(D92:F92),"")</f>
        <v/>
      </c>
      <c r="H92" s="25" t="n"/>
      <c r="I92" s="21" t="n"/>
      <c r="J92" s="21" t="n"/>
    </row>
    <row r="93">
      <c r="A93" s="25" t="n"/>
      <c r="B93" s="25" t="n"/>
      <c r="C93" s="25" t="n"/>
      <c r="D93" s="25" t="n"/>
      <c r="E93" s="25" t="n"/>
      <c r="F93" s="25" t="n"/>
      <c r="G93" s="40">
        <f>IF(COUNT(D93:F93)=3,AVERAGE(D93:F93),"")</f>
        <v/>
      </c>
      <c r="H93" s="25" t="n"/>
      <c r="I93" s="21" t="n"/>
      <c r="J93" s="21" t="n"/>
    </row>
    <row r="94">
      <c r="A94" s="25" t="n"/>
      <c r="B94" s="25" t="n"/>
      <c r="C94" s="25" t="n"/>
      <c r="D94" s="25" t="n"/>
      <c r="E94" s="25" t="n"/>
      <c r="F94" s="25" t="n"/>
      <c r="G94" s="40">
        <f>IF(COUNT(D94:F94)=3,AVERAGE(D94:F94),"")</f>
        <v/>
      </c>
      <c r="H94" s="25" t="n"/>
      <c r="I94" s="21" t="n"/>
      <c r="J94" s="21" t="n"/>
    </row>
    <row r="95">
      <c r="A95" s="25" t="n"/>
      <c r="B95" s="25" t="n"/>
      <c r="C95" s="25" t="n"/>
      <c r="D95" s="25" t="n"/>
      <c r="E95" s="25" t="n"/>
      <c r="F95" s="25" t="n"/>
      <c r="G95" s="40">
        <f>IF(COUNT(D95:F95)=3,AVERAGE(D95:F95),"")</f>
        <v/>
      </c>
      <c r="H95" s="25" t="n"/>
      <c r="I95" s="21" t="n"/>
      <c r="J95" s="21" t="n"/>
    </row>
    <row r="96">
      <c r="A96" s="25" t="n"/>
      <c r="B96" s="25" t="n"/>
      <c r="C96" s="25" t="n"/>
      <c r="D96" s="25" t="n"/>
      <c r="E96" s="25" t="n"/>
      <c r="F96" s="25" t="n"/>
      <c r="G96" s="40">
        <f>IF(COUNT(D96:F96)=3,AVERAGE(D96:F96),"")</f>
        <v/>
      </c>
      <c r="H96" s="25" t="n"/>
      <c r="I96" s="21" t="n"/>
      <c r="J96" s="21" t="n"/>
    </row>
    <row r="97">
      <c r="A97" s="25" t="n"/>
      <c r="B97" s="25" t="n"/>
      <c r="C97" s="25" t="n"/>
      <c r="D97" s="25" t="n"/>
      <c r="E97" s="25" t="n"/>
      <c r="F97" s="25" t="n"/>
      <c r="G97" s="40">
        <f>IF(COUNT(D97:F97)=3,AVERAGE(D97:F97),"")</f>
        <v/>
      </c>
      <c r="H97" s="25" t="n"/>
      <c r="I97" s="21" t="n"/>
      <c r="J97" s="21" t="n"/>
    </row>
    <row r="98">
      <c r="A98" s="25" t="n"/>
      <c r="B98" s="25" t="n"/>
      <c r="C98" s="25" t="n"/>
      <c r="D98" s="25" t="n"/>
      <c r="E98" s="25" t="n"/>
      <c r="F98" s="25" t="n"/>
      <c r="G98" s="40">
        <f>IF(COUNT(D98:F98)=3,AVERAGE(D98:F98),"")</f>
        <v/>
      </c>
      <c r="H98" s="25" t="n"/>
      <c r="I98" s="21" t="n"/>
      <c r="J98" s="21" t="n"/>
    </row>
    <row r="99">
      <c r="A99" s="25" t="n"/>
      <c r="B99" s="25" t="n"/>
      <c r="C99" s="25" t="n"/>
      <c r="D99" s="25" t="n"/>
      <c r="E99" s="25" t="n"/>
      <c r="F99" s="25" t="n"/>
      <c r="G99" s="40">
        <f>IF(COUNT(D99:F99)=3,AVERAGE(D99:F99),"")</f>
        <v/>
      </c>
      <c r="H99" s="25" t="n"/>
      <c r="I99" s="21" t="n"/>
      <c r="J99" s="21" t="n"/>
    </row>
    <row r="100">
      <c r="A100" s="25" t="n"/>
      <c r="B100" s="25" t="n"/>
      <c r="C100" s="25" t="n"/>
      <c r="D100" s="25" t="n"/>
      <c r="E100" s="25" t="n"/>
      <c r="F100" s="25" t="n"/>
      <c r="G100" s="40">
        <f>IF(COUNT(D100:F100)=3,AVERAGE(D100:F100),"")</f>
        <v/>
      </c>
      <c r="H100" s="25" t="n"/>
      <c r="I100" s="21" t="n"/>
      <c r="J100" s="21" t="n"/>
    </row>
    <row r="101">
      <c r="A101" s="25" t="n"/>
      <c r="B101" s="25" t="n"/>
      <c r="C101" s="25" t="n"/>
      <c r="D101" s="25" t="n"/>
      <c r="E101" s="25" t="n"/>
      <c r="F101" s="25" t="n"/>
      <c r="G101" s="40">
        <f>IF(COUNT(D101:F101)=3,AVERAGE(D101:F101),"")</f>
        <v/>
      </c>
      <c r="H101" s="25" t="n"/>
      <c r="I101" s="21" t="n"/>
      <c r="J101" s="21" t="n"/>
    </row>
    <row r="102">
      <c r="A102" s="25" t="n"/>
      <c r="B102" s="25" t="n"/>
      <c r="C102" s="25" t="n"/>
      <c r="D102" s="25" t="n"/>
      <c r="E102" s="25" t="n"/>
      <c r="F102" s="25" t="n"/>
      <c r="G102" s="40">
        <f>IF(COUNT(D102:F102)=3,AVERAGE(D102:F102),"")</f>
        <v/>
      </c>
      <c r="H102" s="25" t="n"/>
      <c r="I102" s="21" t="n"/>
      <c r="J102" s="21" t="n"/>
    </row>
    <row r="103">
      <c r="A103" s="25" t="n"/>
      <c r="B103" s="25" t="n"/>
      <c r="C103" s="25" t="n"/>
      <c r="D103" s="25" t="n"/>
      <c r="E103" s="25" t="n"/>
      <c r="F103" s="25" t="n"/>
      <c r="G103" s="40">
        <f>IF(COUNT(D103:F103)=3,AVERAGE(D103:F103),"")</f>
        <v/>
      </c>
      <c r="H103" s="25" t="n"/>
      <c r="I103" s="21" t="n"/>
      <c r="J103" s="21" t="n"/>
    </row>
    <row r="104">
      <c r="A104" s="25" t="n"/>
      <c r="B104" s="25" t="n"/>
      <c r="C104" s="25" t="n"/>
      <c r="D104" s="25" t="n"/>
      <c r="E104" s="25" t="n"/>
      <c r="F104" s="25" t="n"/>
      <c r="G104" s="40">
        <f>IF(COUNT(D104:F104)=3,AVERAGE(D104:F104),"")</f>
        <v/>
      </c>
      <c r="H104" s="25" t="n"/>
      <c r="I104" s="21" t="n"/>
      <c r="J104" s="21" t="n"/>
    </row>
    <row r="105">
      <c r="A105" s="25" t="n"/>
      <c r="B105" s="25" t="n"/>
      <c r="C105" s="25" t="n"/>
      <c r="D105" s="25" t="n"/>
      <c r="E105" s="25" t="n"/>
      <c r="F105" s="25" t="n"/>
      <c r="G105" s="40">
        <f>IF(COUNT(D105:F105)=3,AVERAGE(D105:F105),"")</f>
        <v/>
      </c>
      <c r="H105" s="25" t="n"/>
      <c r="I105" s="21" t="n"/>
      <c r="J105" s="21" t="n"/>
    </row>
    <row r="106">
      <c r="A106" s="25" t="n"/>
      <c r="B106" s="25" t="n"/>
      <c r="C106" s="25" t="n"/>
      <c r="D106" s="25" t="n"/>
      <c r="E106" s="25" t="n"/>
      <c r="F106" s="25" t="n"/>
      <c r="G106" s="40">
        <f>IF(COUNT(D106:F106)=3,AVERAGE(D106:F106),"")</f>
        <v/>
      </c>
      <c r="H106" s="25" t="n"/>
      <c r="I106" s="21" t="n"/>
      <c r="J106" s="21" t="n"/>
    </row>
    <row r="107">
      <c r="A107" s="25" t="n"/>
      <c r="B107" s="25" t="n"/>
      <c r="C107" s="25" t="n"/>
      <c r="D107" s="25" t="n"/>
      <c r="E107" s="25" t="n"/>
      <c r="F107" s="25" t="n"/>
      <c r="G107" s="40">
        <f>IF(COUNT(D107:F107)=3,AVERAGE(D107:F107),"")</f>
        <v/>
      </c>
      <c r="H107" s="25" t="n"/>
      <c r="I107" s="21" t="n"/>
      <c r="J107" s="21" t="n"/>
    </row>
    <row r="108">
      <c r="A108" s="25" t="n"/>
      <c r="B108" s="25" t="n"/>
      <c r="C108" s="25" t="n"/>
      <c r="D108" s="25" t="n"/>
      <c r="E108" s="25" t="n"/>
      <c r="F108" s="25" t="n"/>
      <c r="G108" s="40">
        <f>IF(COUNT(D108:F108)=3,AVERAGE(D108:F108),"")</f>
        <v/>
      </c>
      <c r="H108" s="25" t="n"/>
      <c r="I108" s="21" t="n"/>
      <c r="J108" s="21" t="n"/>
    </row>
    <row r="109">
      <c r="A109" s="25" t="n"/>
      <c r="B109" s="25" t="n"/>
      <c r="C109" s="25" t="n"/>
      <c r="D109" s="25" t="n"/>
      <c r="E109" s="25" t="n"/>
      <c r="F109" s="25" t="n"/>
      <c r="G109" s="40">
        <f>IF(COUNT(D109:F109)=3,AVERAGE(D109:F109),"")</f>
        <v/>
      </c>
      <c r="H109" s="25" t="n"/>
      <c r="I109" s="21" t="n"/>
      <c r="J109" s="21" t="n"/>
    </row>
    <row r="110">
      <c r="A110" s="25" t="n"/>
      <c r="B110" s="25" t="n"/>
      <c r="C110" s="25" t="n"/>
      <c r="D110" s="25" t="n"/>
      <c r="E110" s="25" t="n"/>
      <c r="F110" s="25" t="n"/>
      <c r="G110" s="40">
        <f>IF(COUNT(D110:F110)=3,AVERAGE(D110:F110),"")</f>
        <v/>
      </c>
      <c r="H110" s="25" t="n"/>
      <c r="I110" s="21" t="n"/>
      <c r="J110" s="21" t="n"/>
    </row>
    <row r="111">
      <c r="A111" s="25" t="n"/>
      <c r="B111" s="25" t="n"/>
      <c r="C111" s="25" t="n"/>
      <c r="D111" s="25" t="n"/>
      <c r="E111" s="25" t="n"/>
      <c r="F111" s="25" t="n"/>
      <c r="G111" s="40">
        <f>IF(COUNT(D111:F111)=3,AVERAGE(D111:F111),"")</f>
        <v/>
      </c>
      <c r="H111" s="25" t="n"/>
      <c r="I111" s="21" t="n"/>
      <c r="J111" s="21" t="n"/>
    </row>
    <row r="112">
      <c r="A112" s="25" t="n"/>
      <c r="B112" s="25" t="n"/>
      <c r="C112" s="25" t="n"/>
      <c r="D112" s="25" t="n"/>
      <c r="E112" s="25" t="n"/>
      <c r="F112" s="25" t="n"/>
      <c r="G112" s="40">
        <f>IF(COUNT(D112:F112)=3,AVERAGE(D112:F112),"")</f>
        <v/>
      </c>
      <c r="H112" s="25" t="n"/>
      <c r="I112" s="21" t="n"/>
      <c r="J112" s="21" t="n"/>
    </row>
    <row r="113">
      <c r="A113" s="25" t="n"/>
      <c r="B113" s="25" t="n"/>
      <c r="C113" s="25" t="n"/>
      <c r="D113" s="25" t="n"/>
      <c r="E113" s="25" t="n"/>
      <c r="F113" s="25" t="n"/>
      <c r="G113" s="40">
        <f>IF(COUNT(D113:F113)=3,AVERAGE(D113:F113),"")</f>
        <v/>
      </c>
      <c r="H113" s="25" t="n"/>
      <c r="I113" s="21" t="n"/>
      <c r="J113" s="21" t="n"/>
    </row>
    <row r="114">
      <c r="A114" s="25" t="n"/>
      <c r="B114" s="25" t="n"/>
      <c r="C114" s="25" t="n"/>
      <c r="D114" s="25" t="n"/>
      <c r="E114" s="25" t="n"/>
      <c r="F114" s="25" t="n"/>
      <c r="G114" s="40">
        <f>IF(COUNT(D114:F114)=3,AVERAGE(D114:F114),"")</f>
        <v/>
      </c>
      <c r="H114" s="25" t="n"/>
      <c r="I114" s="21" t="n"/>
      <c r="J114" s="21" t="n"/>
    </row>
    <row r="115">
      <c r="A115" s="25" t="n"/>
      <c r="B115" s="25" t="n"/>
      <c r="C115" s="25" t="n"/>
      <c r="D115" s="25" t="n"/>
      <c r="E115" s="25" t="n"/>
      <c r="F115" s="25" t="n"/>
      <c r="G115" s="40">
        <f>IF(COUNT(D115:F115)=3,AVERAGE(D115:F115),"")</f>
        <v/>
      </c>
      <c r="H115" s="25" t="n"/>
      <c r="I115" s="21" t="n"/>
      <c r="J115" s="21" t="n"/>
    </row>
    <row r="116">
      <c r="A116" s="25" t="n"/>
      <c r="B116" s="25" t="n"/>
      <c r="C116" s="25" t="n"/>
      <c r="D116" s="25" t="n"/>
      <c r="E116" s="25" t="n"/>
      <c r="F116" s="25" t="n"/>
      <c r="G116" s="40">
        <f>IF(COUNT(D116:F116)=3,AVERAGE(D116:F116),"")</f>
        <v/>
      </c>
      <c r="H116" s="25" t="n"/>
      <c r="I116" s="21" t="n"/>
      <c r="J116" s="21" t="n"/>
    </row>
    <row r="117">
      <c r="A117" s="25" t="n"/>
      <c r="B117" s="25" t="n"/>
      <c r="C117" s="25" t="n"/>
      <c r="D117" s="25" t="n"/>
      <c r="E117" s="25" t="n"/>
      <c r="F117" s="25" t="n"/>
      <c r="G117" s="40">
        <f>IF(COUNT(D117:F117)=3,AVERAGE(D117:F117),"")</f>
        <v/>
      </c>
      <c r="H117" s="25" t="n"/>
      <c r="I117" s="21" t="n"/>
      <c r="J117" s="21" t="n"/>
    </row>
    <row r="118">
      <c r="A118" s="25" t="n"/>
      <c r="B118" s="25" t="n"/>
      <c r="C118" s="25" t="n"/>
      <c r="D118" s="25" t="n"/>
      <c r="E118" s="25" t="n"/>
      <c r="F118" s="25" t="n"/>
      <c r="G118" s="40">
        <f>IF(COUNT(D118:F118)=3,AVERAGE(D118:F118),"")</f>
        <v/>
      </c>
      <c r="H118" s="25" t="n"/>
      <c r="I118" s="21" t="n"/>
      <c r="J118" s="21" t="n"/>
    </row>
    <row r="119">
      <c r="A119" s="25" t="n"/>
      <c r="B119" s="25" t="n"/>
      <c r="C119" s="25" t="n"/>
      <c r="D119" s="25" t="n"/>
      <c r="E119" s="25" t="n"/>
      <c r="F119" s="25" t="n"/>
      <c r="G119" s="40">
        <f>IF(COUNT(D119:F119)=3,AVERAGE(D119:F119),"")</f>
        <v/>
      </c>
      <c r="H119" s="25" t="n"/>
      <c r="I119" s="21" t="n"/>
      <c r="J119" s="21" t="n"/>
    </row>
    <row r="120">
      <c r="A120" s="25" t="n"/>
      <c r="B120" s="25" t="n"/>
      <c r="C120" s="25" t="n"/>
      <c r="D120" s="25" t="n"/>
      <c r="E120" s="25" t="n"/>
      <c r="F120" s="25" t="n"/>
      <c r="G120" s="40">
        <f>IF(COUNT(D120:F120)=3,AVERAGE(D120:F120),"")</f>
        <v/>
      </c>
      <c r="H120" s="25" t="n"/>
      <c r="I120" s="21" t="n"/>
      <c r="J120" s="21" t="n"/>
    </row>
    <row r="121">
      <c r="A121" s="25" t="n"/>
      <c r="B121" s="25" t="n"/>
      <c r="C121" s="25" t="n"/>
      <c r="D121" s="25" t="n"/>
      <c r="E121" s="25" t="n"/>
      <c r="F121" s="25" t="n"/>
      <c r="G121" s="40">
        <f>IF(COUNT(D121:F121)=3,AVERAGE(D121:F121),"")</f>
        <v/>
      </c>
      <c r="H121" s="25" t="n"/>
      <c r="I121" s="21" t="n"/>
      <c r="J121" s="21" t="n"/>
    </row>
    <row r="122">
      <c r="A122" s="25" t="n"/>
      <c r="B122" s="25" t="n"/>
      <c r="C122" s="25" t="n"/>
      <c r="D122" s="25" t="n"/>
      <c r="E122" s="25" t="n"/>
      <c r="F122" s="25" t="n"/>
      <c r="G122" s="40">
        <f>IF(COUNT(D122:F122)=3,AVERAGE(D122:F122),"")</f>
        <v/>
      </c>
      <c r="H122" s="25" t="n"/>
      <c r="I122" s="21" t="n"/>
      <c r="J122" s="21" t="n"/>
    </row>
    <row r="123">
      <c r="A123" s="25" t="n"/>
      <c r="B123" s="25" t="n"/>
      <c r="C123" s="25" t="n"/>
      <c r="D123" s="25" t="n"/>
      <c r="E123" s="25" t="n"/>
      <c r="F123" s="25" t="n"/>
      <c r="G123" s="40">
        <f>IF(COUNT(D123:F123)=3,AVERAGE(D123:F123),"")</f>
        <v/>
      </c>
      <c r="H123" s="25" t="n"/>
      <c r="I123" s="21" t="n"/>
      <c r="J123" s="21" t="n"/>
    </row>
    <row r="124">
      <c r="A124" s="25" t="n"/>
      <c r="B124" s="25" t="n"/>
      <c r="C124" s="25" t="n"/>
      <c r="D124" s="25" t="n"/>
      <c r="E124" s="25" t="n"/>
      <c r="F124" s="25" t="n"/>
      <c r="G124" s="40">
        <f>IF(COUNT(D124:F124)=3,AVERAGE(D124:F124),"")</f>
        <v/>
      </c>
      <c r="H124" s="25" t="n"/>
      <c r="I124" s="21" t="n"/>
      <c r="J124" s="21" t="n"/>
    </row>
    <row r="125">
      <c r="A125" s="25" t="n"/>
      <c r="B125" s="25" t="n"/>
      <c r="C125" s="25" t="n"/>
      <c r="D125" s="25" t="n"/>
      <c r="E125" s="25" t="n"/>
      <c r="F125" s="25" t="n"/>
      <c r="G125" s="40">
        <f>IF(COUNT(D125:F125)=3,AVERAGE(D125:F125),"")</f>
        <v/>
      </c>
      <c r="H125" s="25" t="n"/>
      <c r="I125" s="21" t="n"/>
      <c r="J125" s="21" t="n"/>
    </row>
    <row r="126">
      <c r="A126" s="25" t="n"/>
      <c r="B126" s="25" t="n"/>
      <c r="C126" s="25" t="n"/>
      <c r="D126" s="25" t="n"/>
      <c r="E126" s="25" t="n"/>
      <c r="F126" s="25" t="n"/>
      <c r="G126" s="40">
        <f>IF(COUNT(D126:F126)=3,AVERAGE(D126:F126),"")</f>
        <v/>
      </c>
      <c r="H126" s="25" t="n"/>
      <c r="I126" s="21" t="n"/>
      <c r="J126" s="21" t="n"/>
    </row>
    <row r="127">
      <c r="A127" s="25" t="n"/>
      <c r="B127" s="25" t="n"/>
      <c r="C127" s="25" t="n"/>
      <c r="D127" s="25" t="n"/>
      <c r="E127" s="25" t="n"/>
      <c r="F127" s="25" t="n"/>
      <c r="G127" s="40">
        <f>IF(COUNT(D127:F127)=3,AVERAGE(D127:F127),"")</f>
        <v/>
      </c>
      <c r="H127" s="25" t="n"/>
      <c r="I127" s="21" t="n"/>
      <c r="J127" s="21" t="n"/>
    </row>
    <row r="128">
      <c r="A128" s="25" t="n"/>
      <c r="B128" s="25" t="n"/>
      <c r="C128" s="25" t="n"/>
      <c r="D128" s="25" t="n"/>
      <c r="E128" s="25" t="n"/>
      <c r="F128" s="25" t="n"/>
      <c r="G128" s="40">
        <f>IF(COUNT(D128:F128)=3,AVERAGE(D128:F128),"")</f>
        <v/>
      </c>
      <c r="H128" s="25" t="n"/>
      <c r="I128" s="21" t="n"/>
      <c r="J128" s="21" t="n"/>
    </row>
    <row r="129">
      <c r="A129" s="25" t="n"/>
      <c r="B129" s="25" t="n"/>
      <c r="C129" s="25" t="n"/>
      <c r="D129" s="25" t="n"/>
      <c r="E129" s="25" t="n"/>
      <c r="F129" s="25" t="n"/>
      <c r="G129" s="40">
        <f>IF(COUNT(D129:F129)=3,AVERAGE(D129:F129),"")</f>
        <v/>
      </c>
      <c r="H129" s="25" t="n"/>
      <c r="I129" s="21" t="n"/>
      <c r="J129" s="21" t="n"/>
    </row>
    <row r="130">
      <c r="A130" s="25" t="n"/>
      <c r="B130" s="25" t="n"/>
      <c r="C130" s="25" t="n"/>
      <c r="D130" s="25" t="n"/>
      <c r="E130" s="25" t="n"/>
      <c r="F130" s="25" t="n"/>
      <c r="G130" s="40">
        <f>IF(COUNT(D130:F130)=3,AVERAGE(D130:F130),"")</f>
        <v/>
      </c>
      <c r="H130" s="25" t="n"/>
      <c r="I130" s="21" t="n"/>
      <c r="J130" s="21" t="n"/>
    </row>
    <row r="131">
      <c r="A131" s="25" t="n"/>
      <c r="B131" s="25" t="n"/>
      <c r="C131" s="25" t="n"/>
      <c r="D131" s="25" t="n"/>
      <c r="E131" s="25" t="n"/>
      <c r="F131" s="25" t="n"/>
      <c r="G131" s="40">
        <f>IF(COUNT(D131:F131)=3,AVERAGE(D131:F131),"")</f>
        <v/>
      </c>
      <c r="H131" s="25" t="n"/>
      <c r="I131" s="21" t="n"/>
      <c r="J131" s="21" t="n"/>
    </row>
    <row r="132">
      <c r="A132" s="25" t="n"/>
      <c r="B132" s="25" t="n"/>
      <c r="C132" s="25" t="n"/>
      <c r="D132" s="25" t="n"/>
      <c r="E132" s="25" t="n"/>
      <c r="F132" s="25" t="n"/>
      <c r="G132" s="40">
        <f>IF(COUNT(D132:F132)=3,AVERAGE(D132:F132),"")</f>
        <v/>
      </c>
      <c r="H132" s="25" t="n"/>
      <c r="I132" s="21" t="n"/>
      <c r="J132" s="21" t="n"/>
    </row>
    <row r="133">
      <c r="A133" s="25" t="n"/>
      <c r="B133" s="25" t="n"/>
      <c r="C133" s="25" t="n"/>
      <c r="D133" s="25" t="n"/>
      <c r="E133" s="25" t="n"/>
      <c r="F133" s="25" t="n"/>
      <c r="G133" s="40">
        <f>IF(COUNT(D133:F133)=3,AVERAGE(D133:F133),"")</f>
        <v/>
      </c>
      <c r="H133" s="25" t="n"/>
      <c r="I133" s="21" t="n"/>
      <c r="J133" s="21" t="n"/>
    </row>
    <row r="134">
      <c r="A134" s="25" t="n"/>
      <c r="B134" s="25" t="n"/>
      <c r="C134" s="25" t="n"/>
      <c r="D134" s="25" t="n"/>
      <c r="E134" s="25" t="n"/>
      <c r="F134" s="25" t="n"/>
      <c r="G134" s="40">
        <f>IF(COUNT(D134:F134)=3,AVERAGE(D134:F134),"")</f>
        <v/>
      </c>
      <c r="H134" s="25" t="n"/>
      <c r="I134" s="21" t="n"/>
      <c r="J134" s="21" t="n"/>
    </row>
    <row r="135">
      <c r="A135" s="25" t="n"/>
      <c r="B135" s="25" t="n"/>
      <c r="C135" s="25" t="n"/>
      <c r="D135" s="25" t="n"/>
      <c r="E135" s="25" t="n"/>
      <c r="F135" s="25" t="n"/>
      <c r="G135" s="40">
        <f>IF(COUNT(D135:F135)=3,AVERAGE(D135:F135),"")</f>
        <v/>
      </c>
      <c r="H135" s="25" t="n"/>
      <c r="I135" s="21" t="n"/>
      <c r="J135" s="21" t="n"/>
    </row>
    <row r="136">
      <c r="A136" s="25" t="n"/>
      <c r="B136" s="25" t="n"/>
      <c r="C136" s="25" t="n"/>
      <c r="D136" s="25" t="n"/>
      <c r="E136" s="25" t="n"/>
      <c r="F136" s="25" t="n"/>
      <c r="G136" s="40">
        <f>IF(COUNT(D136:F136)=3,AVERAGE(D136:F136),"")</f>
        <v/>
      </c>
      <c r="H136" s="25" t="n"/>
      <c r="I136" s="21" t="n"/>
      <c r="J136" s="21" t="n"/>
    </row>
    <row r="137">
      <c r="A137" s="25" t="n"/>
      <c r="B137" s="25" t="n"/>
      <c r="C137" s="25" t="n"/>
      <c r="D137" s="25" t="n"/>
      <c r="E137" s="25" t="n"/>
      <c r="F137" s="25" t="n"/>
      <c r="G137" s="40">
        <f>IF(COUNT(D137:F137)=3,AVERAGE(D137:F137),"")</f>
        <v/>
      </c>
      <c r="H137" s="25" t="n"/>
      <c r="I137" s="21" t="n"/>
      <c r="J137" s="21" t="n"/>
    </row>
    <row r="138">
      <c r="A138" s="25" t="n"/>
      <c r="B138" s="25" t="n"/>
      <c r="C138" s="25" t="n"/>
      <c r="D138" s="25" t="n"/>
      <c r="E138" s="25" t="n"/>
      <c r="F138" s="25" t="n"/>
      <c r="G138" s="40">
        <f>IF(COUNT(D138:F138)=3,AVERAGE(D138:F138),"")</f>
        <v/>
      </c>
      <c r="H138" s="25" t="n"/>
      <c r="I138" s="21" t="n"/>
      <c r="J138" s="21" t="n"/>
    </row>
    <row r="139">
      <c r="A139" s="25" t="n"/>
      <c r="B139" s="25" t="n"/>
      <c r="C139" s="25" t="n"/>
      <c r="D139" s="25" t="n"/>
      <c r="E139" s="25" t="n"/>
      <c r="F139" s="25" t="n"/>
      <c r="G139" s="40">
        <f>IF(COUNT(D139:F139)=3,AVERAGE(D139:F139),"")</f>
        <v/>
      </c>
      <c r="H139" s="25" t="n"/>
      <c r="I139" s="21" t="n"/>
      <c r="J139" s="21" t="n"/>
    </row>
    <row r="140">
      <c r="A140" s="25" t="n"/>
      <c r="B140" s="25" t="n"/>
      <c r="C140" s="25" t="n"/>
      <c r="D140" s="25" t="n"/>
      <c r="E140" s="25" t="n"/>
      <c r="F140" s="25" t="n"/>
      <c r="G140" s="40">
        <f>IF(COUNT(D140:F140)=3,AVERAGE(D140:F140),"")</f>
        <v/>
      </c>
      <c r="H140" s="25" t="n"/>
      <c r="I140" s="21" t="n"/>
      <c r="J140" s="21" t="n"/>
    </row>
    <row r="141">
      <c r="A141" s="25" t="n"/>
      <c r="B141" s="25" t="n"/>
      <c r="C141" s="25" t="n"/>
      <c r="D141" s="25" t="n"/>
      <c r="E141" s="25" t="n"/>
      <c r="F141" s="25" t="n"/>
      <c r="G141" s="40">
        <f>IF(COUNT(D141:F141)=3,AVERAGE(D141:F141),"")</f>
        <v/>
      </c>
      <c r="H141" s="25" t="n"/>
      <c r="I141" s="21" t="n"/>
      <c r="J141" s="21" t="n"/>
    </row>
    <row r="142">
      <c r="A142" s="25" t="n"/>
      <c r="B142" s="25" t="n"/>
      <c r="C142" s="25" t="n"/>
      <c r="D142" s="25" t="n"/>
      <c r="E142" s="25" t="n"/>
      <c r="F142" s="25" t="n"/>
      <c r="G142" s="40">
        <f>IF(COUNT(D142:F142)=3,AVERAGE(D142:F142),"")</f>
        <v/>
      </c>
      <c r="H142" s="25" t="n"/>
      <c r="I142" s="21" t="n"/>
      <c r="J142" s="21" t="n"/>
    </row>
    <row r="143">
      <c r="A143" s="25" t="n"/>
      <c r="B143" s="25" t="n"/>
      <c r="C143" s="25" t="n"/>
      <c r="D143" s="25" t="n"/>
      <c r="E143" s="25" t="n"/>
      <c r="F143" s="25" t="n"/>
      <c r="G143" s="40">
        <f>IF(COUNT(D143:F143)=3,AVERAGE(D143:F143),"")</f>
        <v/>
      </c>
      <c r="H143" s="25" t="n"/>
      <c r="I143" s="21" t="n"/>
      <c r="J143" s="21" t="n"/>
    </row>
    <row r="144">
      <c r="A144" s="25" t="n"/>
      <c r="B144" s="25" t="n"/>
      <c r="C144" s="25" t="n"/>
      <c r="D144" s="25" t="n"/>
      <c r="E144" s="25" t="n"/>
      <c r="F144" s="25" t="n"/>
      <c r="G144" s="40">
        <f>IF(COUNT(D144:F144)=3,AVERAGE(D144:F144),"")</f>
        <v/>
      </c>
      <c r="H144" s="25" t="n"/>
      <c r="I144" s="21" t="n"/>
      <c r="J144" s="21" t="n"/>
    </row>
    <row r="145">
      <c r="A145" s="25" t="n"/>
      <c r="B145" s="25" t="n"/>
      <c r="C145" s="25" t="n"/>
      <c r="D145" s="25" t="n"/>
      <c r="E145" s="25" t="n"/>
      <c r="F145" s="25" t="n"/>
      <c r="G145" s="40">
        <f>IF(COUNT(D145:F145)=3,AVERAGE(D145:F145),"")</f>
        <v/>
      </c>
      <c r="H145" s="25" t="n"/>
      <c r="I145" s="21" t="n"/>
      <c r="J145" s="21" t="n"/>
    </row>
    <row r="146">
      <c r="A146" s="25" t="n"/>
      <c r="B146" s="25" t="n"/>
      <c r="C146" s="25" t="n"/>
      <c r="D146" s="25" t="n"/>
      <c r="E146" s="25" t="n"/>
      <c r="F146" s="25" t="n"/>
      <c r="G146" s="40">
        <f>IF(COUNT(D146:F146)=3,AVERAGE(D146:F146),"")</f>
        <v/>
      </c>
      <c r="H146" s="25" t="n"/>
      <c r="I146" s="21" t="n"/>
      <c r="J146" s="21" t="n"/>
    </row>
    <row r="147">
      <c r="A147" s="25" t="n"/>
      <c r="B147" s="25" t="n"/>
      <c r="C147" s="25" t="n"/>
      <c r="D147" s="25" t="n"/>
      <c r="E147" s="25" t="n"/>
      <c r="F147" s="25" t="n"/>
      <c r="G147" s="40">
        <f>IF(COUNT(D147:F147)=3,AVERAGE(D147:F147),"")</f>
        <v/>
      </c>
      <c r="H147" s="25" t="n"/>
      <c r="I147" s="21" t="n"/>
      <c r="J147" s="21" t="n"/>
    </row>
    <row r="148">
      <c r="A148" s="25" t="n"/>
      <c r="B148" s="25" t="n"/>
      <c r="C148" s="25" t="n"/>
      <c r="D148" s="25" t="n"/>
      <c r="E148" s="25" t="n"/>
      <c r="F148" s="25" t="n"/>
      <c r="G148" s="40">
        <f>IF(COUNT(D148:F148)=3,AVERAGE(D148:F148),"")</f>
        <v/>
      </c>
      <c r="H148" s="25" t="n"/>
      <c r="I148" s="21" t="n"/>
      <c r="J148" s="21" t="n"/>
    </row>
    <row r="149">
      <c r="A149" s="25" t="n"/>
      <c r="B149" s="25" t="n"/>
      <c r="C149" s="25" t="n"/>
      <c r="D149" s="25" t="n"/>
      <c r="E149" s="25" t="n"/>
      <c r="F149" s="25" t="n"/>
      <c r="G149" s="40">
        <f>IF(COUNT(D149:F149)=3,AVERAGE(D149:F149),"")</f>
        <v/>
      </c>
      <c r="H149" s="25" t="n"/>
      <c r="I149" s="21" t="n"/>
      <c r="J149" s="21" t="n"/>
    </row>
    <row r="150">
      <c r="A150" s="25" t="n"/>
      <c r="B150" s="25" t="n"/>
      <c r="C150" s="25" t="n"/>
      <c r="D150" s="25" t="n"/>
      <c r="E150" s="25" t="n"/>
      <c r="F150" s="25" t="n"/>
      <c r="G150" s="40">
        <f>IF(COUNT(D150:F150)=3,AVERAGE(D150:F150),"")</f>
        <v/>
      </c>
      <c r="H150" s="25" t="n"/>
      <c r="I150" s="21" t="n"/>
      <c r="J150" s="21" t="n"/>
    </row>
    <row r="151">
      <c r="A151" s="25" t="n"/>
      <c r="B151" s="25" t="n"/>
      <c r="C151" s="25" t="n"/>
      <c r="D151" s="25" t="n"/>
      <c r="E151" s="25" t="n"/>
      <c r="F151" s="25" t="n"/>
      <c r="G151" s="40">
        <f>IF(COUNT(D151:F151)=3,AVERAGE(D151:F151),"")</f>
        <v/>
      </c>
      <c r="H151" s="25" t="n"/>
      <c r="I151" s="21" t="n"/>
      <c r="J151" s="21" t="n"/>
    </row>
    <row r="152">
      <c r="A152" s="25" t="n"/>
      <c r="B152" s="25" t="n"/>
      <c r="C152" s="25" t="n"/>
      <c r="D152" s="25" t="n"/>
      <c r="E152" s="25" t="n"/>
      <c r="F152" s="25" t="n"/>
      <c r="G152" s="40">
        <f>IF(COUNT(D152:F152)=3,AVERAGE(D152:F152),"")</f>
        <v/>
      </c>
      <c r="H152" s="25" t="n"/>
      <c r="I152" s="21" t="n"/>
      <c r="J152" s="21" t="n"/>
    </row>
    <row r="153">
      <c r="A153" s="25" t="n"/>
      <c r="B153" s="25" t="n"/>
      <c r="C153" s="25" t="n"/>
      <c r="D153" s="25" t="n"/>
      <c r="E153" s="25" t="n"/>
      <c r="F153" s="25" t="n"/>
      <c r="G153" s="40">
        <f>IF(COUNT(D153:F153)=3,AVERAGE(D153:F153),"")</f>
        <v/>
      </c>
      <c r="H153" s="25" t="n"/>
      <c r="I153" s="21" t="n"/>
      <c r="J153" s="21" t="n"/>
    </row>
    <row r="154">
      <c r="A154" s="25" t="n"/>
      <c r="B154" s="25" t="n"/>
      <c r="C154" s="25" t="n"/>
      <c r="D154" s="25" t="n"/>
      <c r="E154" s="25" t="n"/>
      <c r="F154" s="25" t="n"/>
      <c r="G154" s="40">
        <f>IF(COUNT(D154:F154)=3,AVERAGE(D154:F154),"")</f>
        <v/>
      </c>
      <c r="H154" s="25" t="n"/>
      <c r="I154" s="21" t="n"/>
      <c r="J154" s="21" t="n"/>
    </row>
    <row r="155">
      <c r="A155" s="25" t="n"/>
      <c r="B155" s="25" t="n"/>
      <c r="C155" s="25" t="n"/>
      <c r="D155" s="25" t="n"/>
      <c r="E155" s="25" t="n"/>
      <c r="F155" s="25" t="n"/>
      <c r="G155" s="40">
        <f>IF(COUNT(D155:F155)=3,AVERAGE(D155:F155),"")</f>
        <v/>
      </c>
      <c r="H155" s="25" t="n"/>
      <c r="I155" s="21" t="n"/>
      <c r="J155" s="21" t="n"/>
    </row>
    <row r="156">
      <c r="A156" s="25" t="n"/>
      <c r="B156" s="25" t="n"/>
      <c r="C156" s="25" t="n"/>
      <c r="D156" s="25" t="n"/>
      <c r="E156" s="25" t="n"/>
      <c r="F156" s="25" t="n"/>
      <c r="G156" s="40">
        <f>IF(COUNT(D156:F156)=3,AVERAGE(D156:F156),"")</f>
        <v/>
      </c>
      <c r="H156" s="25" t="n"/>
      <c r="I156" s="21" t="n"/>
      <c r="J156" s="21" t="n"/>
    </row>
    <row r="157">
      <c r="A157" s="25" t="n"/>
      <c r="B157" s="25" t="n"/>
      <c r="C157" s="25" t="n"/>
      <c r="D157" s="25" t="n"/>
      <c r="E157" s="25" t="n"/>
      <c r="F157" s="25" t="n"/>
      <c r="G157" s="40">
        <f>IF(COUNT(D157:F157)=3,AVERAGE(D157:F157),"")</f>
        <v/>
      </c>
      <c r="H157" s="25" t="n"/>
      <c r="I157" s="21" t="n"/>
      <c r="J157" s="21" t="n"/>
    </row>
    <row r="158">
      <c r="A158" s="25" t="n"/>
      <c r="B158" s="25" t="n"/>
      <c r="C158" s="25" t="n"/>
      <c r="D158" s="25" t="n"/>
      <c r="E158" s="25" t="n"/>
      <c r="F158" s="25" t="n"/>
      <c r="G158" s="40">
        <f>IF(COUNT(D158:F158)=3,AVERAGE(D158:F158),"")</f>
        <v/>
      </c>
      <c r="H158" s="25" t="n"/>
      <c r="I158" s="21" t="n"/>
      <c r="J158" s="21" t="n"/>
    </row>
    <row r="159">
      <c r="A159" s="25" t="n"/>
      <c r="B159" s="25" t="n"/>
      <c r="C159" s="25" t="n"/>
      <c r="D159" s="25" t="n"/>
      <c r="E159" s="25" t="n"/>
      <c r="F159" s="25" t="n"/>
      <c r="G159" s="40">
        <f>IF(COUNT(D159:F159)=3,AVERAGE(D159:F159),"")</f>
        <v/>
      </c>
      <c r="H159" s="25" t="n"/>
      <c r="I159" s="21" t="n"/>
      <c r="J159" s="21" t="n"/>
    </row>
    <row r="160">
      <c r="A160" s="25" t="n"/>
      <c r="B160" s="25" t="n"/>
      <c r="C160" s="25" t="n"/>
      <c r="D160" s="25" t="n"/>
      <c r="E160" s="25" t="n"/>
      <c r="F160" s="25" t="n"/>
      <c r="G160" s="40">
        <f>IF(COUNT(D160:F160)=3,AVERAGE(D160:F160),"")</f>
        <v/>
      </c>
      <c r="H160" s="25" t="n"/>
      <c r="I160" s="21" t="n"/>
      <c r="J160" s="21" t="n"/>
    </row>
    <row r="161">
      <c r="A161" s="25" t="n"/>
      <c r="B161" s="25" t="n"/>
      <c r="C161" s="25" t="n"/>
      <c r="D161" s="25" t="n"/>
      <c r="E161" s="25" t="n"/>
      <c r="F161" s="25" t="n"/>
      <c r="G161" s="40">
        <f>IF(COUNT(D161:F161)=3,AVERAGE(D161:F161),"")</f>
        <v/>
      </c>
      <c r="H161" s="25" t="n"/>
      <c r="I161" s="21" t="n"/>
      <c r="J161" s="21" t="n"/>
    </row>
    <row r="162">
      <c r="A162" s="25" t="n"/>
      <c r="B162" s="25" t="n"/>
      <c r="C162" s="25" t="n"/>
      <c r="D162" s="25" t="n"/>
      <c r="E162" s="25" t="n"/>
      <c r="F162" s="25" t="n"/>
      <c r="G162" s="40">
        <f>IF(COUNT(D162:F162)=3,AVERAGE(D162:F162),"")</f>
        <v/>
      </c>
      <c r="H162" s="25" t="n"/>
      <c r="I162" s="21" t="n"/>
      <c r="J162" s="21" t="n"/>
    </row>
    <row r="163">
      <c r="A163" s="25" t="n"/>
      <c r="B163" s="25" t="n"/>
      <c r="C163" s="25" t="n"/>
      <c r="D163" s="25" t="n"/>
      <c r="E163" s="25" t="n"/>
      <c r="F163" s="25" t="n"/>
      <c r="G163" s="40">
        <f>IF(COUNT(D163:F163)=3,AVERAGE(D163:F163),"")</f>
        <v/>
      </c>
      <c r="H163" s="25" t="n"/>
      <c r="I163" s="21" t="n"/>
      <c r="J163" s="21" t="n"/>
    </row>
    <row r="164">
      <c r="A164" s="25" t="n"/>
      <c r="B164" s="25" t="n"/>
      <c r="C164" s="25" t="n"/>
      <c r="D164" s="25" t="n"/>
      <c r="E164" s="25" t="n"/>
      <c r="F164" s="25" t="n"/>
      <c r="G164" s="40">
        <f>IF(COUNT(D164:F164)=3,AVERAGE(D164:F164),"")</f>
        <v/>
      </c>
      <c r="H164" s="25" t="n"/>
      <c r="I164" s="21" t="n"/>
      <c r="J164" s="21" t="n"/>
    </row>
    <row r="165">
      <c r="A165" s="25" t="n"/>
      <c r="B165" s="25" t="n"/>
      <c r="C165" s="25" t="n"/>
      <c r="D165" s="25" t="n"/>
      <c r="E165" s="25" t="n"/>
      <c r="F165" s="25" t="n"/>
      <c r="G165" s="40">
        <f>IF(COUNT(D165:F165)=3,AVERAGE(D165:F165),"")</f>
        <v/>
      </c>
      <c r="H165" s="25" t="n"/>
      <c r="I165" s="21" t="n"/>
      <c r="J165" s="21" t="n"/>
    </row>
    <row r="166">
      <c r="A166" s="25" t="n"/>
      <c r="B166" s="25" t="n"/>
      <c r="C166" s="25" t="n"/>
      <c r="D166" s="25" t="n"/>
      <c r="E166" s="25" t="n"/>
      <c r="F166" s="25" t="n"/>
      <c r="G166" s="40">
        <f>IF(COUNT(D166:F166)=3,AVERAGE(D166:F166),"")</f>
        <v/>
      </c>
      <c r="H166" s="25" t="n"/>
      <c r="I166" s="21" t="n"/>
      <c r="J166" s="21" t="n"/>
    </row>
    <row r="167">
      <c r="A167" s="25" t="n"/>
      <c r="B167" s="25" t="n"/>
      <c r="C167" s="25" t="n"/>
      <c r="D167" s="25" t="n"/>
      <c r="E167" s="25" t="n"/>
      <c r="F167" s="25" t="n"/>
      <c r="G167" s="40">
        <f>IF(COUNT(D167:F167)=3,AVERAGE(D167:F167),"")</f>
        <v/>
      </c>
      <c r="H167" s="25" t="n"/>
      <c r="I167" s="21" t="n"/>
      <c r="J167" s="21" t="n"/>
    </row>
    <row r="168">
      <c r="A168" s="25" t="n"/>
      <c r="B168" s="25" t="n"/>
      <c r="C168" s="25" t="n"/>
      <c r="D168" s="25" t="n"/>
      <c r="E168" s="25" t="n"/>
      <c r="F168" s="25" t="n"/>
      <c r="G168" s="40">
        <f>IF(COUNT(D168:F168)=3,AVERAGE(D168:F168),"")</f>
        <v/>
      </c>
      <c r="H168" s="25" t="n"/>
      <c r="I168" s="21" t="n"/>
      <c r="J168" s="21" t="n"/>
    </row>
    <row r="169">
      <c r="A169" s="25" t="n"/>
      <c r="B169" s="25" t="n"/>
      <c r="C169" s="25" t="n"/>
      <c r="D169" s="25" t="n"/>
      <c r="E169" s="25" t="n"/>
      <c r="F169" s="25" t="n"/>
      <c r="G169" s="40">
        <f>IF(COUNT(D169:F169)=3,AVERAGE(D169:F169),"")</f>
        <v/>
      </c>
      <c r="H169" s="25" t="n"/>
      <c r="I169" s="21" t="n"/>
      <c r="J169" s="21" t="n"/>
    </row>
    <row r="170">
      <c r="A170" s="25" t="n"/>
      <c r="B170" s="25" t="n"/>
      <c r="C170" s="25" t="n"/>
      <c r="D170" s="25" t="n"/>
      <c r="E170" s="25" t="n"/>
      <c r="F170" s="25" t="n"/>
      <c r="G170" s="40">
        <f>IF(COUNT(D170:F170)=3,AVERAGE(D170:F170),"")</f>
        <v/>
      </c>
      <c r="H170" s="25" t="n"/>
      <c r="I170" s="21" t="n"/>
      <c r="J170" s="21" t="n"/>
    </row>
    <row r="171">
      <c r="A171" s="25" t="n"/>
      <c r="B171" s="25" t="n"/>
      <c r="C171" s="25" t="n"/>
      <c r="D171" s="25" t="n"/>
      <c r="E171" s="25" t="n"/>
      <c r="F171" s="25" t="n"/>
      <c r="G171" s="40">
        <f>IF(COUNT(D171:F171)=3,AVERAGE(D171:F171),"")</f>
        <v/>
      </c>
      <c r="H171" s="25" t="n"/>
      <c r="I171" s="21" t="n"/>
      <c r="J171" s="21" t="n"/>
    </row>
    <row r="172">
      <c r="A172" s="25" t="n"/>
      <c r="B172" s="25" t="n"/>
      <c r="C172" s="25" t="n"/>
      <c r="D172" s="25" t="n"/>
      <c r="E172" s="25" t="n"/>
      <c r="F172" s="25" t="n"/>
      <c r="G172" s="40">
        <f>IF(COUNT(D172:F172)=3,AVERAGE(D172:F172),"")</f>
        <v/>
      </c>
      <c r="H172" s="25" t="n"/>
      <c r="I172" s="21" t="n"/>
      <c r="J172" s="21" t="n"/>
    </row>
    <row r="173">
      <c r="A173" s="25" t="n"/>
      <c r="B173" s="25" t="n"/>
      <c r="C173" s="25" t="n"/>
      <c r="D173" s="25" t="n"/>
      <c r="E173" s="25" t="n"/>
      <c r="F173" s="25" t="n"/>
      <c r="G173" s="40">
        <f>IF(COUNT(D173:F173)=3,AVERAGE(D173:F173),"")</f>
        <v/>
      </c>
      <c r="H173" s="25" t="n"/>
      <c r="I173" s="21" t="n"/>
      <c r="J173" s="21" t="n"/>
    </row>
    <row r="174">
      <c r="A174" s="25" t="n"/>
      <c r="B174" s="25" t="n"/>
      <c r="C174" s="25" t="n"/>
      <c r="D174" s="25" t="n"/>
      <c r="E174" s="25" t="n"/>
      <c r="F174" s="25" t="n"/>
      <c r="G174" s="40">
        <f>IF(COUNT(D174:F174)=3,AVERAGE(D174:F174),"")</f>
        <v/>
      </c>
      <c r="H174" s="25" t="n"/>
      <c r="I174" s="21" t="n"/>
      <c r="J174" s="21" t="n"/>
    </row>
    <row r="175">
      <c r="A175" s="25" t="n"/>
      <c r="B175" s="25" t="n"/>
      <c r="C175" s="25" t="n"/>
      <c r="D175" s="25" t="n"/>
      <c r="E175" s="25" t="n"/>
      <c r="F175" s="25" t="n"/>
      <c r="G175" s="40">
        <f>IF(COUNT(D175:F175)=3,AVERAGE(D175:F175),"")</f>
        <v/>
      </c>
      <c r="H175" s="25" t="n"/>
      <c r="I175" s="21" t="n"/>
      <c r="J175" s="21" t="n"/>
    </row>
    <row r="176">
      <c r="A176" s="25" t="n"/>
      <c r="B176" s="25" t="n"/>
      <c r="C176" s="25" t="n"/>
      <c r="D176" s="25" t="n"/>
      <c r="E176" s="25" t="n"/>
      <c r="F176" s="25" t="n"/>
      <c r="G176" s="40">
        <f>IF(COUNT(D176:F176)=3,AVERAGE(D176:F176),"")</f>
        <v/>
      </c>
      <c r="H176" s="25" t="n"/>
      <c r="I176" s="21" t="n"/>
      <c r="J176" s="21" t="n"/>
    </row>
    <row r="177">
      <c r="A177" s="25" t="n"/>
      <c r="B177" s="25" t="n"/>
      <c r="C177" s="25" t="n"/>
      <c r="D177" s="25" t="n"/>
      <c r="E177" s="25" t="n"/>
      <c r="F177" s="25" t="n"/>
      <c r="G177" s="40">
        <f>IF(COUNT(D177:F177)=3,AVERAGE(D177:F177),"")</f>
        <v/>
      </c>
      <c r="H177" s="25" t="n"/>
      <c r="I177" s="21" t="n"/>
      <c r="J177" s="21" t="n"/>
    </row>
    <row r="178">
      <c r="A178" s="25" t="n"/>
      <c r="B178" s="25" t="n"/>
      <c r="C178" s="25" t="n"/>
      <c r="D178" s="25" t="n"/>
      <c r="E178" s="25" t="n"/>
      <c r="F178" s="25" t="n"/>
      <c r="G178" s="40">
        <f>IF(COUNT(D178:F178)=3,AVERAGE(D178:F178),"")</f>
        <v/>
      </c>
      <c r="H178" s="25" t="n"/>
      <c r="I178" s="21" t="n"/>
      <c r="J178" s="21" t="n"/>
    </row>
    <row r="179">
      <c r="A179" s="25" t="n"/>
      <c r="B179" s="25" t="n"/>
      <c r="C179" s="25" t="n"/>
      <c r="D179" s="25" t="n"/>
      <c r="E179" s="25" t="n"/>
      <c r="F179" s="25" t="n"/>
      <c r="G179" s="40">
        <f>IF(COUNT(D179:F179)=3,AVERAGE(D179:F179),"")</f>
        <v/>
      </c>
      <c r="H179" s="25" t="n"/>
      <c r="I179" s="21" t="n"/>
      <c r="J179" s="21" t="n"/>
    </row>
    <row r="180">
      <c r="A180" s="25" t="n"/>
      <c r="B180" s="25" t="n"/>
      <c r="C180" s="25" t="n"/>
      <c r="D180" s="25" t="n"/>
      <c r="E180" s="25" t="n"/>
      <c r="F180" s="25" t="n"/>
      <c r="G180" s="40">
        <f>IF(COUNT(D180:F180)=3,AVERAGE(D180:F180),"")</f>
        <v/>
      </c>
      <c r="H180" s="25" t="n"/>
      <c r="I180" s="21" t="n"/>
      <c r="J180" s="21" t="n"/>
    </row>
    <row r="181">
      <c r="A181" s="25" t="n"/>
      <c r="B181" s="25" t="n"/>
      <c r="C181" s="25" t="n"/>
      <c r="D181" s="25" t="n"/>
      <c r="E181" s="25" t="n"/>
      <c r="F181" s="25" t="n"/>
      <c r="G181" s="40">
        <f>IF(COUNT(D181:F181)=3,AVERAGE(D181:F181),"")</f>
        <v/>
      </c>
      <c r="H181" s="25" t="n"/>
      <c r="I181" s="21" t="n"/>
      <c r="J181" s="21" t="n"/>
    </row>
    <row r="182">
      <c r="A182" s="25" t="n"/>
      <c r="B182" s="25" t="n"/>
      <c r="C182" s="25" t="n"/>
      <c r="D182" s="25" t="n"/>
      <c r="E182" s="25" t="n"/>
      <c r="F182" s="25" t="n"/>
      <c r="G182" s="40">
        <f>IF(COUNT(D182:F182)=3,AVERAGE(D182:F182),"")</f>
        <v/>
      </c>
      <c r="H182" s="25" t="n"/>
      <c r="I182" s="21" t="n"/>
      <c r="J182" s="21" t="n"/>
    </row>
    <row r="183">
      <c r="A183" s="25" t="n"/>
      <c r="B183" s="25" t="n"/>
      <c r="C183" s="25" t="n"/>
      <c r="D183" s="25" t="n"/>
      <c r="E183" s="25" t="n"/>
      <c r="F183" s="25" t="n"/>
      <c r="G183" s="40">
        <f>IF(COUNT(D183:F183)=3,AVERAGE(D183:F183),"")</f>
        <v/>
      </c>
      <c r="H183" s="25" t="n"/>
      <c r="I183" s="21" t="n"/>
      <c r="J183" s="21" t="n"/>
    </row>
    <row r="184">
      <c r="A184" s="25" t="n"/>
      <c r="B184" s="25" t="n"/>
      <c r="C184" s="25" t="n"/>
      <c r="D184" s="25" t="n"/>
      <c r="E184" s="25" t="n"/>
      <c r="F184" s="25" t="n"/>
      <c r="G184" s="40">
        <f>IF(COUNT(D184:F184)=3,AVERAGE(D184:F184),"")</f>
        <v/>
      </c>
      <c r="H184" s="25" t="n"/>
      <c r="I184" s="21" t="n"/>
      <c r="J184" s="21" t="n"/>
    </row>
    <row r="185">
      <c r="A185" s="25" t="n"/>
      <c r="B185" s="25" t="n"/>
      <c r="C185" s="25" t="n"/>
      <c r="D185" s="25" t="n"/>
      <c r="E185" s="25" t="n"/>
      <c r="F185" s="25" t="n"/>
      <c r="G185" s="40">
        <f>IF(COUNT(D185:F185)=3,AVERAGE(D185:F185),"")</f>
        <v/>
      </c>
      <c r="H185" s="25" t="n"/>
      <c r="I185" s="21" t="n"/>
      <c r="J185" s="21" t="n"/>
    </row>
    <row r="186">
      <c r="A186" s="25" t="n"/>
      <c r="B186" s="25" t="n"/>
      <c r="C186" s="25" t="n"/>
      <c r="D186" s="25" t="n"/>
      <c r="E186" s="25" t="n"/>
      <c r="F186" s="25" t="n"/>
      <c r="G186" s="40">
        <f>IF(COUNT(D186:F186)=3,AVERAGE(D186:F186),"")</f>
        <v/>
      </c>
      <c r="H186" s="25" t="n"/>
      <c r="I186" s="21" t="n"/>
      <c r="J186" s="21" t="n"/>
    </row>
    <row r="187">
      <c r="A187" s="25" t="n"/>
      <c r="B187" s="25" t="n"/>
      <c r="C187" s="25" t="n"/>
      <c r="D187" s="25" t="n"/>
      <c r="E187" s="25" t="n"/>
      <c r="F187" s="25" t="n"/>
      <c r="G187" s="40">
        <f>IF(COUNT(D187:F187)=3,AVERAGE(D187:F187),"")</f>
        <v/>
      </c>
      <c r="H187" s="25" t="n"/>
      <c r="I187" s="21" t="n"/>
      <c r="J187" s="21" t="n"/>
    </row>
    <row r="188">
      <c r="A188" s="25" t="n"/>
      <c r="B188" s="25" t="n"/>
      <c r="C188" s="25" t="n"/>
      <c r="D188" s="25" t="n"/>
      <c r="E188" s="25" t="n"/>
      <c r="F188" s="25" t="n"/>
      <c r="G188" s="40">
        <f>IF(COUNT(D188:F188)=3,AVERAGE(D188:F188),"")</f>
        <v/>
      </c>
      <c r="H188" s="25" t="n"/>
      <c r="I188" s="21" t="n"/>
      <c r="J188" s="21" t="n"/>
    </row>
    <row r="189">
      <c r="A189" s="25" t="n"/>
      <c r="B189" s="25" t="n"/>
      <c r="C189" s="25" t="n"/>
      <c r="D189" s="25" t="n"/>
      <c r="E189" s="25" t="n"/>
      <c r="F189" s="25" t="n"/>
      <c r="G189" s="40">
        <f>IF(COUNT(D189:F189)=3,AVERAGE(D189:F189),"")</f>
        <v/>
      </c>
      <c r="H189" s="25" t="n"/>
      <c r="I189" s="21" t="n"/>
      <c r="J189" s="21" t="n"/>
    </row>
    <row r="190">
      <c r="A190" s="25" t="n"/>
      <c r="B190" s="25" t="n"/>
      <c r="C190" s="25" t="n"/>
      <c r="D190" s="25" t="n"/>
      <c r="E190" s="25" t="n"/>
      <c r="F190" s="25" t="n"/>
      <c r="G190" s="40">
        <f>IF(COUNT(D190:F190)=3,AVERAGE(D190:F190),"")</f>
        <v/>
      </c>
      <c r="H190" s="25" t="n"/>
      <c r="I190" s="21" t="n"/>
      <c r="J190" s="21" t="n"/>
    </row>
    <row r="191">
      <c r="A191" s="25" t="n"/>
      <c r="B191" s="25" t="n"/>
      <c r="C191" s="25" t="n"/>
      <c r="D191" s="25" t="n"/>
      <c r="E191" s="25" t="n"/>
      <c r="F191" s="25" t="n"/>
      <c r="G191" s="40">
        <f>IF(COUNT(D191:F191)=3,AVERAGE(D191:F191),"")</f>
        <v/>
      </c>
      <c r="H191" s="25" t="n"/>
      <c r="I191" s="21" t="n"/>
      <c r="J191" s="21" t="n"/>
    </row>
    <row r="192">
      <c r="A192" s="25" t="n"/>
      <c r="B192" s="25" t="n"/>
      <c r="C192" s="25" t="n"/>
      <c r="D192" s="25" t="n"/>
      <c r="E192" s="25" t="n"/>
      <c r="F192" s="25" t="n"/>
      <c r="G192" s="40">
        <f>IF(COUNT(D192:F192)=3,AVERAGE(D192:F192),"")</f>
        <v/>
      </c>
      <c r="H192" s="25" t="n"/>
      <c r="I192" s="21" t="n"/>
      <c r="J192" s="21" t="n"/>
    </row>
    <row r="193">
      <c r="A193" s="25" t="n"/>
      <c r="B193" s="25" t="n"/>
      <c r="C193" s="25" t="n"/>
      <c r="D193" s="25" t="n"/>
      <c r="E193" s="25" t="n"/>
      <c r="F193" s="25" t="n"/>
      <c r="G193" s="40">
        <f>IF(COUNT(D193:F193)=3,AVERAGE(D193:F193),"")</f>
        <v/>
      </c>
      <c r="H193" s="25" t="n"/>
      <c r="I193" s="21" t="n"/>
      <c r="J193" s="21" t="n"/>
    </row>
    <row r="194">
      <c r="A194" s="25" t="n"/>
      <c r="B194" s="25" t="n"/>
      <c r="C194" s="25" t="n"/>
      <c r="D194" s="25" t="n"/>
      <c r="E194" s="25" t="n"/>
      <c r="F194" s="25" t="n"/>
      <c r="G194" s="40">
        <f>IF(COUNT(D194:F194)=3,AVERAGE(D194:F194),"")</f>
        <v/>
      </c>
      <c r="H194" s="25" t="n"/>
      <c r="I194" s="21" t="n"/>
      <c r="J194" s="21" t="n"/>
    </row>
    <row r="195">
      <c r="A195" s="25" t="n"/>
      <c r="B195" s="25" t="n"/>
      <c r="C195" s="25" t="n"/>
      <c r="D195" s="25" t="n"/>
      <c r="E195" s="25" t="n"/>
      <c r="F195" s="25" t="n"/>
      <c r="G195" s="40">
        <f>IF(COUNT(D195:F195)=3,AVERAGE(D195:F195),"")</f>
        <v/>
      </c>
      <c r="H195" s="25" t="n"/>
      <c r="I195" s="21" t="n"/>
      <c r="J195" s="21" t="n"/>
    </row>
    <row r="196">
      <c r="A196" s="25" t="n"/>
      <c r="B196" s="25" t="n"/>
      <c r="C196" s="25" t="n"/>
      <c r="D196" s="25" t="n"/>
      <c r="E196" s="25" t="n"/>
      <c r="F196" s="25" t="n"/>
      <c r="G196" s="40">
        <f>IF(COUNT(D196:F196)=3,AVERAGE(D196:F196),"")</f>
        <v/>
      </c>
      <c r="H196" s="25" t="n"/>
      <c r="I196" s="21" t="n"/>
      <c r="J196" s="21" t="n"/>
    </row>
    <row r="197">
      <c r="A197" s="25" t="n"/>
      <c r="B197" s="25" t="n"/>
      <c r="C197" s="25" t="n"/>
      <c r="D197" s="25" t="n"/>
      <c r="E197" s="25" t="n"/>
      <c r="F197" s="25" t="n"/>
      <c r="G197" s="40">
        <f>IF(COUNT(D197:F197)=3,AVERAGE(D197:F197),"")</f>
        <v/>
      </c>
      <c r="H197" s="25" t="n"/>
      <c r="I197" s="21" t="n"/>
      <c r="J197" s="21" t="n"/>
    </row>
    <row r="198">
      <c r="A198" s="25" t="n"/>
      <c r="B198" s="25" t="n"/>
      <c r="C198" s="25" t="n"/>
      <c r="D198" s="25" t="n"/>
      <c r="E198" s="25" t="n"/>
      <c r="F198" s="25" t="n"/>
      <c r="G198" s="40">
        <f>IF(COUNT(D198:F198)=3,AVERAGE(D198:F198),"")</f>
        <v/>
      </c>
      <c r="H198" s="25" t="n"/>
      <c r="I198" s="21" t="n"/>
      <c r="J198" s="21" t="n"/>
    </row>
    <row r="199">
      <c r="A199" s="25" t="n"/>
      <c r="B199" s="25" t="n"/>
      <c r="C199" s="25" t="n"/>
      <c r="D199" s="25" t="n"/>
      <c r="E199" s="25" t="n"/>
      <c r="F199" s="25" t="n"/>
      <c r="G199" s="40">
        <f>IF(COUNT(D199:F199)=3,AVERAGE(D199:F199),"")</f>
        <v/>
      </c>
      <c r="H199" s="25" t="n"/>
      <c r="I199" s="21" t="n"/>
      <c r="J199" s="21" t="n"/>
    </row>
    <row r="200">
      <c r="A200" s="25" t="n"/>
      <c r="B200" s="25" t="n"/>
      <c r="C200" s="25" t="n"/>
      <c r="D200" s="25" t="n"/>
      <c r="E200" s="25" t="n"/>
      <c r="F200" s="25" t="n"/>
      <c r="G200" s="40">
        <f>IF(COUNT(D200:F200)=3,AVERAGE(D200:F200),"")</f>
        <v/>
      </c>
      <c r="H200" s="25" t="n"/>
      <c r="I200" s="21" t="n"/>
      <c r="J200" s="21" t="n"/>
    </row>
    <row r="201">
      <c r="A201" s="25" t="n"/>
      <c r="B201" s="25" t="n"/>
      <c r="C201" s="25" t="n"/>
      <c r="D201" s="25" t="n"/>
      <c r="E201" s="25" t="n"/>
      <c r="F201" s="25" t="n"/>
      <c r="G201" s="40">
        <f>IF(COUNT(D201:F201)=3,AVERAGE(D201:F201),"")</f>
        <v/>
      </c>
      <c r="H201" s="25" t="n"/>
      <c r="I201" s="21" t="n"/>
      <c r="J201" s="21" t="n"/>
    </row>
    <row r="202">
      <c r="A202" s="25" t="n"/>
      <c r="B202" s="25" t="n"/>
      <c r="C202" s="25" t="n"/>
      <c r="D202" s="25" t="n"/>
      <c r="E202" s="25" t="n"/>
      <c r="F202" s="25" t="n"/>
      <c r="G202" s="40">
        <f>IF(COUNT(D202:F202)=3,AVERAGE(D202:F202),"")</f>
        <v/>
      </c>
      <c r="H202" s="25" t="n"/>
      <c r="I202" s="21" t="n"/>
      <c r="J202" s="21" t="n"/>
    </row>
    <row r="203">
      <c r="A203" s="25" t="n"/>
      <c r="B203" s="25" t="n"/>
      <c r="C203" s="25" t="n"/>
      <c r="D203" s="25" t="n"/>
      <c r="E203" s="25" t="n"/>
      <c r="F203" s="25" t="n"/>
      <c r="G203" s="40">
        <f>IF(COUNT(D203:F203)=3,AVERAGE(D203:F203),"")</f>
        <v/>
      </c>
      <c r="H203" s="25" t="n"/>
      <c r="I203" s="21" t="n"/>
      <c r="J203" s="21" t="n"/>
    </row>
    <row r="204">
      <c r="A204" s="25" t="n"/>
      <c r="B204" s="25" t="n"/>
      <c r="C204" s="25" t="n"/>
      <c r="D204" s="25" t="n"/>
      <c r="E204" s="25" t="n"/>
      <c r="F204" s="25" t="n"/>
      <c r="G204" s="40">
        <f>IF(COUNT(D204:F204)=3,AVERAGE(D204:F204),"")</f>
        <v/>
      </c>
      <c r="H204" s="25" t="n"/>
      <c r="I204" s="21" t="n"/>
      <c r="J204" s="21" t="n"/>
    </row>
    <row r="205">
      <c r="A205" s="25" t="n"/>
      <c r="B205" s="25" t="n"/>
      <c r="C205" s="25" t="n"/>
      <c r="D205" s="25" t="n"/>
      <c r="E205" s="25" t="n"/>
      <c r="F205" s="25" t="n"/>
      <c r="G205" s="40">
        <f>IF(COUNT(D205:F205)=3,AVERAGE(D205:F205),"")</f>
        <v/>
      </c>
      <c r="H205" s="25" t="n"/>
      <c r="I205" s="21" t="n"/>
      <c r="J205" s="21" t="n"/>
    </row>
  </sheetData>
  <mergeCells count="4">
    <mergeCell ref="B3:H3"/>
    <mergeCell ref="A1:J1"/>
    <mergeCell ref="I3:J3"/>
    <mergeCell ref="A2:J2"/>
  </mergeCells>
  <dataValidations count="4">
    <dataValidation sqref="A6:A205" showDropDown="0" showInputMessage="0" showErrorMessage="1" allowBlank="0" errorTitle="Нет такого разработчика" error="Сначала добавьте разработчика на лист «Разработчики»." type="list">
      <formula1>'Разработчики'!$B$5:$B$205</formula1>
    </dataValidation>
    <dataValidation sqref="D6:D205" showDropDown="0" showInputMessage="0" showErrorMessage="1" allowBlank="0" error="Оценка — целое число от 1 до 5." type="whole" operator="between">
      <formula1>1</formula1>
      <formula2>5</formula2>
    </dataValidation>
    <dataValidation sqref="E6:E205" showDropDown="0" showInputMessage="0" showErrorMessage="1" allowBlank="0" error="Оценка — целое число от 1 до 5." type="whole" operator="between">
      <formula1>1</formula1>
      <formula2>5</formula2>
    </dataValidation>
    <dataValidation sqref="F6:F205" showDropDown="0" showInputMessage="0" showErrorMessage="1" allowBlank="0" error="Оценка — целое число от 1 до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2" customWidth="1" min="4" max="4"/>
    <col width="26" customWidth="1" min="5" max="5"/>
    <col width="26" customWidth="1" min="6" max="6"/>
    <col width="30" customWidth="1" min="7" max="7"/>
    <col width="16" customWidth="1" min="8" max="8"/>
  </cols>
  <sheetData>
    <row r="1" ht="26" customHeight="1">
      <c r="A1" s="29" t="inlineStr">
        <is>
          <t>Доступ к каталогу и представители разработчиков</t>
        </is>
      </c>
    </row>
    <row r="2" ht="30" customHeight="1">
      <c r="A2" s="12" t="inlineStr">
        <is>
          <t>Кому выдать роль в каталоге. Представитель разработчика — сотрудник компании-поставщика, привязывается к карточке своей компании. Строка 5 — пример.</t>
        </is>
      </c>
    </row>
    <row r="3" ht="22" customHeight="1">
      <c r="A3" s="28" t="inlineStr">
        <is>
          <t>Сотрудник</t>
        </is>
      </c>
      <c r="B3" s="30" t="n"/>
      <c r="C3" s="30" t="n"/>
      <c r="D3" s="28" t="inlineStr">
        <is>
          <t>Доступ</t>
        </is>
      </c>
      <c r="E3" s="30" t="n"/>
      <c r="F3" s="30" t="n"/>
      <c r="G3" s="28" t="inlineStr">
        <is>
          <t>Обсуждение</t>
        </is>
      </c>
      <c r="H3" s="30" t="n"/>
    </row>
    <row r="4" ht="58" customHeight="1">
      <c r="A4" s="15" t="inlineStr">
        <is>
          <t>ФИО *</t>
        </is>
      </c>
      <c r="B4" s="15" t="inlineStr">
        <is>
          <t>Эл. почта (учётная запись на платформе) *</t>
        </is>
      </c>
      <c r="C4" s="15" t="inlineStr">
        <is>
          <t>Подразделение или компания</t>
        </is>
      </c>
      <c r="D4" s="15" t="inlineStr">
        <is>
          <t>Роль в каталоге *</t>
        </is>
      </c>
      <c r="E4" s="15" t="inlineStr">
        <is>
          <t>Разработчик (для представителя)</t>
        </is>
      </c>
      <c r="F4" s="15" t="inlineStr">
        <is>
          <t>Основание, кто запросил</t>
        </is>
      </c>
      <c r="G4" s="16" t="inlineStr">
        <is>
          <t>Комментарий</t>
        </is>
      </c>
      <c r="H4" s="16" t="inlineStr">
        <is>
          <t>Автор комментария</t>
        </is>
      </c>
    </row>
    <row r="5" ht="45" customHeight="1">
      <c r="A5" s="32" t="inlineStr">
        <is>
          <t>Абрамов Виктор Тимурович</t>
        </is>
      </c>
      <c r="B5" s="32" t="inlineStr">
        <is>
          <t>vendor@cst.ru</t>
        </is>
      </c>
      <c r="C5" s="32" t="inlineStr">
        <is>
          <t>ЦСТ</t>
        </is>
      </c>
      <c r="D5" s="32" t="inlineStr">
        <is>
          <t>Представитель разработчика</t>
        </is>
      </c>
      <c r="E5" s="32" t="inlineStr">
        <is>
          <t>АО «Зоркий Код»</t>
        </is>
      </c>
      <c r="F5" s="32" t="inlineStr">
        <is>
          <t>Письмо компании от 10.09.2026</t>
        </is>
      </c>
      <c r="G5" s="32" t="inlineStr"/>
      <c r="H5" s="32" t="inlineStr"/>
    </row>
    <row r="6">
      <c r="A6" s="25" t="n"/>
      <c r="B6" s="25" t="n"/>
      <c r="C6" s="25" t="n"/>
      <c r="D6" s="25" t="n"/>
      <c r="E6" s="25" t="n"/>
      <c r="F6" s="25" t="n"/>
      <c r="G6" s="21" t="n"/>
      <c r="H6" s="21" t="n"/>
    </row>
    <row r="7">
      <c r="A7" s="25" t="n"/>
      <c r="B7" s="25" t="n"/>
      <c r="C7" s="25" t="n"/>
      <c r="D7" s="25" t="n"/>
      <c r="E7" s="25" t="n"/>
      <c r="F7" s="25" t="n"/>
      <c r="G7" s="21" t="n"/>
      <c r="H7" s="21" t="n"/>
    </row>
    <row r="8">
      <c r="A8" s="25" t="n"/>
      <c r="B8" s="25" t="n"/>
      <c r="C8" s="25" t="n"/>
      <c r="D8" s="25" t="n"/>
      <c r="E8" s="25" t="n"/>
      <c r="F8" s="25" t="n"/>
      <c r="G8" s="21" t="n"/>
      <c r="H8" s="21" t="n"/>
    </row>
    <row r="9">
      <c r="A9" s="25" t="n"/>
      <c r="B9" s="25" t="n"/>
      <c r="C9" s="25" t="n"/>
      <c r="D9" s="25" t="n"/>
      <c r="E9" s="25" t="n"/>
      <c r="F9" s="25" t="n"/>
      <c r="G9" s="21" t="n"/>
      <c r="H9" s="21" t="n"/>
    </row>
    <row r="10">
      <c r="A10" s="25" t="n"/>
      <c r="B10" s="25" t="n"/>
      <c r="C10" s="25" t="n"/>
      <c r="D10" s="25" t="n"/>
      <c r="E10" s="25" t="n"/>
      <c r="F10" s="25" t="n"/>
      <c r="G10" s="21" t="n"/>
      <c r="H10" s="21" t="n"/>
    </row>
    <row r="11">
      <c r="A11" s="25" t="n"/>
      <c r="B11" s="25" t="n"/>
      <c r="C11" s="25" t="n"/>
      <c r="D11" s="25" t="n"/>
      <c r="E11" s="25" t="n"/>
      <c r="F11" s="25" t="n"/>
      <c r="G11" s="21" t="n"/>
      <c r="H11" s="21" t="n"/>
    </row>
    <row r="12">
      <c r="A12" s="25" t="n"/>
      <c r="B12" s="25" t="n"/>
      <c r="C12" s="25" t="n"/>
      <c r="D12" s="25" t="n"/>
      <c r="E12" s="25" t="n"/>
      <c r="F12" s="25" t="n"/>
      <c r="G12" s="21" t="n"/>
      <c r="H12" s="21" t="n"/>
    </row>
    <row r="13">
      <c r="A13" s="25" t="n"/>
      <c r="B13" s="25" t="n"/>
      <c r="C13" s="25" t="n"/>
      <c r="D13" s="25" t="n"/>
      <c r="E13" s="25" t="n"/>
      <c r="F13" s="25" t="n"/>
      <c r="G13" s="21" t="n"/>
      <c r="H13" s="21" t="n"/>
    </row>
    <row r="14">
      <c r="A14" s="25" t="n"/>
      <c r="B14" s="25" t="n"/>
      <c r="C14" s="25" t="n"/>
      <c r="D14" s="25" t="n"/>
      <c r="E14" s="25" t="n"/>
      <c r="F14" s="25" t="n"/>
      <c r="G14" s="21" t="n"/>
      <c r="H14" s="21" t="n"/>
    </row>
    <row r="15">
      <c r="A15" s="25" t="n"/>
      <c r="B15" s="25" t="n"/>
      <c r="C15" s="25" t="n"/>
      <c r="D15" s="25" t="n"/>
      <c r="E15" s="25" t="n"/>
      <c r="F15" s="25" t="n"/>
      <c r="G15" s="21" t="n"/>
      <c r="H15" s="21" t="n"/>
    </row>
    <row r="16">
      <c r="A16" s="25" t="n"/>
      <c r="B16" s="25" t="n"/>
      <c r="C16" s="25" t="n"/>
      <c r="D16" s="25" t="n"/>
      <c r="E16" s="25" t="n"/>
      <c r="F16" s="25" t="n"/>
      <c r="G16" s="21" t="n"/>
      <c r="H16" s="21" t="n"/>
    </row>
    <row r="17">
      <c r="A17" s="25" t="n"/>
      <c r="B17" s="25" t="n"/>
      <c r="C17" s="25" t="n"/>
      <c r="D17" s="25" t="n"/>
      <c r="E17" s="25" t="n"/>
      <c r="F17" s="25" t="n"/>
      <c r="G17" s="21" t="n"/>
      <c r="H17" s="21" t="n"/>
    </row>
    <row r="18">
      <c r="A18" s="25" t="n"/>
      <c r="B18" s="25" t="n"/>
      <c r="C18" s="25" t="n"/>
      <c r="D18" s="25" t="n"/>
      <c r="E18" s="25" t="n"/>
      <c r="F18" s="25" t="n"/>
      <c r="G18" s="21" t="n"/>
      <c r="H18" s="21" t="n"/>
    </row>
    <row r="19">
      <c r="A19" s="25" t="n"/>
      <c r="B19" s="25" t="n"/>
      <c r="C19" s="25" t="n"/>
      <c r="D19" s="25" t="n"/>
      <c r="E19" s="25" t="n"/>
      <c r="F19" s="25" t="n"/>
      <c r="G19" s="21" t="n"/>
      <c r="H19" s="21" t="n"/>
    </row>
    <row r="20">
      <c r="A20" s="25" t="n"/>
      <c r="B20" s="25" t="n"/>
      <c r="C20" s="25" t="n"/>
      <c r="D20" s="25" t="n"/>
      <c r="E20" s="25" t="n"/>
      <c r="F20" s="25" t="n"/>
      <c r="G20" s="21" t="n"/>
      <c r="H20" s="21" t="n"/>
    </row>
    <row r="21">
      <c r="A21" s="25" t="n"/>
      <c r="B21" s="25" t="n"/>
      <c r="C21" s="25" t="n"/>
      <c r="D21" s="25" t="n"/>
      <c r="E21" s="25" t="n"/>
      <c r="F21" s="25" t="n"/>
      <c r="G21" s="21" t="n"/>
      <c r="H21" s="21" t="n"/>
    </row>
    <row r="22">
      <c r="A22" s="25" t="n"/>
      <c r="B22" s="25" t="n"/>
      <c r="C22" s="25" t="n"/>
      <c r="D22" s="25" t="n"/>
      <c r="E22" s="25" t="n"/>
      <c r="F22" s="25" t="n"/>
      <c r="G22" s="21" t="n"/>
      <c r="H22" s="21" t="n"/>
    </row>
    <row r="23">
      <c r="A23" s="25" t="n"/>
      <c r="B23" s="25" t="n"/>
      <c r="C23" s="25" t="n"/>
      <c r="D23" s="25" t="n"/>
      <c r="E23" s="25" t="n"/>
      <c r="F23" s="25" t="n"/>
      <c r="G23" s="21" t="n"/>
      <c r="H23" s="21" t="n"/>
    </row>
    <row r="24">
      <c r="A24" s="25" t="n"/>
      <c r="B24" s="25" t="n"/>
      <c r="C24" s="25" t="n"/>
      <c r="D24" s="25" t="n"/>
      <c r="E24" s="25" t="n"/>
      <c r="F24" s="25" t="n"/>
      <c r="G24" s="21" t="n"/>
      <c r="H24" s="21" t="n"/>
    </row>
    <row r="25">
      <c r="A25" s="25" t="n"/>
      <c r="B25" s="25" t="n"/>
      <c r="C25" s="25" t="n"/>
      <c r="D25" s="25" t="n"/>
      <c r="E25" s="25" t="n"/>
      <c r="F25" s="25" t="n"/>
      <c r="G25" s="21" t="n"/>
      <c r="H25" s="21" t="n"/>
    </row>
    <row r="26">
      <c r="A26" s="25" t="n"/>
      <c r="B26" s="25" t="n"/>
      <c r="C26" s="25" t="n"/>
      <c r="D26" s="25" t="n"/>
      <c r="E26" s="25" t="n"/>
      <c r="F26" s="25" t="n"/>
      <c r="G26" s="21" t="n"/>
      <c r="H26" s="21" t="n"/>
    </row>
    <row r="27">
      <c r="A27" s="25" t="n"/>
      <c r="B27" s="25" t="n"/>
      <c r="C27" s="25" t="n"/>
      <c r="D27" s="25" t="n"/>
      <c r="E27" s="25" t="n"/>
      <c r="F27" s="25" t="n"/>
      <c r="G27" s="21" t="n"/>
      <c r="H27" s="21" t="n"/>
    </row>
    <row r="28">
      <c r="A28" s="25" t="n"/>
      <c r="B28" s="25" t="n"/>
      <c r="C28" s="25" t="n"/>
      <c r="D28" s="25" t="n"/>
      <c r="E28" s="25" t="n"/>
      <c r="F28" s="25" t="n"/>
      <c r="G28" s="21" t="n"/>
      <c r="H28" s="21" t="n"/>
    </row>
    <row r="29">
      <c r="A29" s="25" t="n"/>
      <c r="B29" s="25" t="n"/>
      <c r="C29" s="25" t="n"/>
      <c r="D29" s="25" t="n"/>
      <c r="E29" s="25" t="n"/>
      <c r="F29" s="25" t="n"/>
      <c r="G29" s="21" t="n"/>
      <c r="H29" s="21" t="n"/>
    </row>
    <row r="30">
      <c r="A30" s="25" t="n"/>
      <c r="B30" s="25" t="n"/>
      <c r="C30" s="25" t="n"/>
      <c r="D30" s="25" t="n"/>
      <c r="E30" s="25" t="n"/>
      <c r="F30" s="25" t="n"/>
      <c r="G30" s="21" t="n"/>
      <c r="H30" s="21" t="n"/>
    </row>
    <row r="31">
      <c r="A31" s="25" t="n"/>
      <c r="B31" s="25" t="n"/>
      <c r="C31" s="25" t="n"/>
      <c r="D31" s="25" t="n"/>
      <c r="E31" s="25" t="n"/>
      <c r="F31" s="25" t="n"/>
      <c r="G31" s="21" t="n"/>
      <c r="H31" s="21" t="n"/>
    </row>
    <row r="32">
      <c r="A32" s="25" t="n"/>
      <c r="B32" s="25" t="n"/>
      <c r="C32" s="25" t="n"/>
      <c r="D32" s="25" t="n"/>
      <c r="E32" s="25" t="n"/>
      <c r="F32" s="25" t="n"/>
      <c r="G32" s="21" t="n"/>
      <c r="H32" s="21" t="n"/>
    </row>
    <row r="33">
      <c r="A33" s="25" t="n"/>
      <c r="B33" s="25" t="n"/>
      <c r="C33" s="25" t="n"/>
      <c r="D33" s="25" t="n"/>
      <c r="E33" s="25" t="n"/>
      <c r="F33" s="25" t="n"/>
      <c r="G33" s="21" t="n"/>
      <c r="H33" s="21" t="n"/>
    </row>
    <row r="34">
      <c r="A34" s="25" t="n"/>
      <c r="B34" s="25" t="n"/>
      <c r="C34" s="25" t="n"/>
      <c r="D34" s="25" t="n"/>
      <c r="E34" s="25" t="n"/>
      <c r="F34" s="25" t="n"/>
      <c r="G34" s="21" t="n"/>
      <c r="H34" s="21" t="n"/>
    </row>
    <row r="35">
      <c r="A35" s="25" t="n"/>
      <c r="B35" s="25" t="n"/>
      <c r="C35" s="25" t="n"/>
      <c r="D35" s="25" t="n"/>
      <c r="E35" s="25" t="n"/>
      <c r="F35" s="25" t="n"/>
      <c r="G35" s="21" t="n"/>
      <c r="H35" s="21" t="n"/>
    </row>
    <row r="36">
      <c r="A36" s="25" t="n"/>
      <c r="B36" s="25" t="n"/>
      <c r="C36" s="25" t="n"/>
      <c r="D36" s="25" t="n"/>
      <c r="E36" s="25" t="n"/>
      <c r="F36" s="25" t="n"/>
      <c r="G36" s="21" t="n"/>
      <c r="H36" s="21" t="n"/>
    </row>
    <row r="37">
      <c r="A37" s="25" t="n"/>
      <c r="B37" s="25" t="n"/>
      <c r="C37" s="25" t="n"/>
      <c r="D37" s="25" t="n"/>
      <c r="E37" s="25" t="n"/>
      <c r="F37" s="25" t="n"/>
      <c r="G37" s="21" t="n"/>
      <c r="H37" s="21" t="n"/>
    </row>
    <row r="38">
      <c r="A38" s="25" t="n"/>
      <c r="B38" s="25" t="n"/>
      <c r="C38" s="25" t="n"/>
      <c r="D38" s="25" t="n"/>
      <c r="E38" s="25" t="n"/>
      <c r="F38" s="25" t="n"/>
      <c r="G38" s="21" t="n"/>
      <c r="H38" s="21" t="n"/>
    </row>
    <row r="39">
      <c r="A39" s="25" t="n"/>
      <c r="B39" s="25" t="n"/>
      <c r="C39" s="25" t="n"/>
      <c r="D39" s="25" t="n"/>
      <c r="E39" s="25" t="n"/>
      <c r="F39" s="25" t="n"/>
      <c r="G39" s="21" t="n"/>
      <c r="H39" s="21" t="n"/>
    </row>
    <row r="40">
      <c r="A40" s="25" t="n"/>
      <c r="B40" s="25" t="n"/>
      <c r="C40" s="25" t="n"/>
      <c r="D40" s="25" t="n"/>
      <c r="E40" s="25" t="n"/>
      <c r="F40" s="25" t="n"/>
      <c r="G40" s="21" t="n"/>
      <c r="H40" s="21" t="n"/>
    </row>
    <row r="41">
      <c r="A41" s="25" t="n"/>
      <c r="B41" s="25" t="n"/>
      <c r="C41" s="25" t="n"/>
      <c r="D41" s="25" t="n"/>
      <c r="E41" s="25" t="n"/>
      <c r="F41" s="25" t="n"/>
      <c r="G41" s="21" t="n"/>
      <c r="H41" s="21" t="n"/>
    </row>
    <row r="42">
      <c r="A42" s="25" t="n"/>
      <c r="B42" s="25" t="n"/>
      <c r="C42" s="25" t="n"/>
      <c r="D42" s="25" t="n"/>
      <c r="E42" s="25" t="n"/>
      <c r="F42" s="25" t="n"/>
      <c r="G42" s="21" t="n"/>
      <c r="H42" s="21" t="n"/>
    </row>
    <row r="43">
      <c r="A43" s="25" t="n"/>
      <c r="B43" s="25" t="n"/>
      <c r="C43" s="25" t="n"/>
      <c r="D43" s="25" t="n"/>
      <c r="E43" s="25" t="n"/>
      <c r="F43" s="25" t="n"/>
      <c r="G43" s="21" t="n"/>
      <c r="H43" s="21" t="n"/>
    </row>
    <row r="44">
      <c r="A44" s="25" t="n"/>
      <c r="B44" s="25" t="n"/>
      <c r="C44" s="25" t="n"/>
      <c r="D44" s="25" t="n"/>
      <c r="E44" s="25" t="n"/>
      <c r="F44" s="25" t="n"/>
      <c r="G44" s="21" t="n"/>
      <c r="H44" s="21" t="n"/>
    </row>
    <row r="45">
      <c r="A45" s="25" t="n"/>
      <c r="B45" s="25" t="n"/>
      <c r="C45" s="25" t="n"/>
      <c r="D45" s="25" t="n"/>
      <c r="E45" s="25" t="n"/>
      <c r="F45" s="25" t="n"/>
      <c r="G45" s="21" t="n"/>
      <c r="H45" s="21" t="n"/>
    </row>
    <row r="46">
      <c r="A46" s="25" t="n"/>
      <c r="B46" s="25" t="n"/>
      <c r="C46" s="25" t="n"/>
      <c r="D46" s="25" t="n"/>
      <c r="E46" s="25" t="n"/>
      <c r="F46" s="25" t="n"/>
      <c r="G46" s="21" t="n"/>
      <c r="H46" s="21" t="n"/>
    </row>
    <row r="47">
      <c r="A47" s="25" t="n"/>
      <c r="B47" s="25" t="n"/>
      <c r="C47" s="25" t="n"/>
      <c r="D47" s="25" t="n"/>
      <c r="E47" s="25" t="n"/>
      <c r="F47" s="25" t="n"/>
      <c r="G47" s="21" t="n"/>
      <c r="H47" s="21" t="n"/>
    </row>
    <row r="48">
      <c r="A48" s="25" t="n"/>
      <c r="B48" s="25" t="n"/>
      <c r="C48" s="25" t="n"/>
      <c r="D48" s="25" t="n"/>
      <c r="E48" s="25" t="n"/>
      <c r="F48" s="25" t="n"/>
      <c r="G48" s="21" t="n"/>
      <c r="H48" s="21" t="n"/>
    </row>
    <row r="49">
      <c r="A49" s="25" t="n"/>
      <c r="B49" s="25" t="n"/>
      <c r="C49" s="25" t="n"/>
      <c r="D49" s="25" t="n"/>
      <c r="E49" s="25" t="n"/>
      <c r="F49" s="25" t="n"/>
      <c r="G49" s="21" t="n"/>
      <c r="H49" s="21" t="n"/>
    </row>
    <row r="50">
      <c r="A50" s="25" t="n"/>
      <c r="B50" s="25" t="n"/>
      <c r="C50" s="25" t="n"/>
      <c r="D50" s="25" t="n"/>
      <c r="E50" s="25" t="n"/>
      <c r="F50" s="25" t="n"/>
      <c r="G50" s="21" t="n"/>
      <c r="H50" s="21" t="n"/>
    </row>
    <row r="51">
      <c r="A51" s="25" t="n"/>
      <c r="B51" s="25" t="n"/>
      <c r="C51" s="25" t="n"/>
      <c r="D51" s="25" t="n"/>
      <c r="E51" s="25" t="n"/>
      <c r="F51" s="25" t="n"/>
      <c r="G51" s="21" t="n"/>
      <c r="H51" s="21" t="n"/>
    </row>
    <row r="52">
      <c r="A52" s="25" t="n"/>
      <c r="B52" s="25" t="n"/>
      <c r="C52" s="25" t="n"/>
      <c r="D52" s="25" t="n"/>
      <c r="E52" s="25" t="n"/>
      <c r="F52" s="25" t="n"/>
      <c r="G52" s="21" t="n"/>
      <c r="H52" s="21" t="n"/>
    </row>
    <row r="53">
      <c r="A53" s="25" t="n"/>
      <c r="B53" s="25" t="n"/>
      <c r="C53" s="25" t="n"/>
      <c r="D53" s="25" t="n"/>
      <c r="E53" s="25" t="n"/>
      <c r="F53" s="25" t="n"/>
      <c r="G53" s="21" t="n"/>
      <c r="H53" s="21" t="n"/>
    </row>
    <row r="54">
      <c r="A54" s="25" t="n"/>
      <c r="B54" s="25" t="n"/>
      <c r="C54" s="25" t="n"/>
      <c r="D54" s="25" t="n"/>
      <c r="E54" s="25" t="n"/>
      <c r="F54" s="25" t="n"/>
      <c r="G54" s="21" t="n"/>
      <c r="H54" s="21" t="n"/>
    </row>
    <row r="55">
      <c r="A55" s="25" t="n"/>
      <c r="B55" s="25" t="n"/>
      <c r="C55" s="25" t="n"/>
      <c r="D55" s="25" t="n"/>
      <c r="E55" s="25" t="n"/>
      <c r="F55" s="25" t="n"/>
      <c r="G55" s="21" t="n"/>
      <c r="H55" s="21" t="n"/>
    </row>
    <row r="56">
      <c r="A56" s="25" t="n"/>
      <c r="B56" s="25" t="n"/>
      <c r="C56" s="25" t="n"/>
      <c r="D56" s="25" t="n"/>
      <c r="E56" s="25" t="n"/>
      <c r="F56" s="25" t="n"/>
      <c r="G56" s="21" t="n"/>
      <c r="H56" s="21" t="n"/>
    </row>
    <row r="57">
      <c r="A57" s="25" t="n"/>
      <c r="B57" s="25" t="n"/>
      <c r="C57" s="25" t="n"/>
      <c r="D57" s="25" t="n"/>
      <c r="E57" s="25" t="n"/>
      <c r="F57" s="25" t="n"/>
      <c r="G57" s="21" t="n"/>
      <c r="H57" s="21" t="n"/>
    </row>
    <row r="58">
      <c r="A58" s="25" t="n"/>
      <c r="B58" s="25" t="n"/>
      <c r="C58" s="25" t="n"/>
      <c r="D58" s="25" t="n"/>
      <c r="E58" s="25" t="n"/>
      <c r="F58" s="25" t="n"/>
      <c r="G58" s="21" t="n"/>
      <c r="H58" s="21" t="n"/>
    </row>
    <row r="59">
      <c r="A59" s="25" t="n"/>
      <c r="B59" s="25" t="n"/>
      <c r="C59" s="25" t="n"/>
      <c r="D59" s="25" t="n"/>
      <c r="E59" s="25" t="n"/>
      <c r="F59" s="25" t="n"/>
      <c r="G59" s="21" t="n"/>
      <c r="H59" s="21" t="n"/>
    </row>
    <row r="60">
      <c r="A60" s="25" t="n"/>
      <c r="B60" s="25" t="n"/>
      <c r="C60" s="25" t="n"/>
      <c r="D60" s="25" t="n"/>
      <c r="E60" s="25" t="n"/>
      <c r="F60" s="25" t="n"/>
      <c r="G60" s="21" t="n"/>
      <c r="H60" s="21" t="n"/>
    </row>
    <row r="61">
      <c r="A61" s="25" t="n"/>
      <c r="B61" s="25" t="n"/>
      <c r="C61" s="25" t="n"/>
      <c r="D61" s="25" t="n"/>
      <c r="E61" s="25" t="n"/>
      <c r="F61" s="25" t="n"/>
      <c r="G61" s="21" t="n"/>
      <c r="H61" s="21" t="n"/>
    </row>
    <row r="62">
      <c r="A62" s="25" t="n"/>
      <c r="B62" s="25" t="n"/>
      <c r="C62" s="25" t="n"/>
      <c r="D62" s="25" t="n"/>
      <c r="E62" s="25" t="n"/>
      <c r="F62" s="25" t="n"/>
      <c r="G62" s="21" t="n"/>
      <c r="H62" s="21" t="n"/>
    </row>
    <row r="63">
      <c r="A63" s="25" t="n"/>
      <c r="B63" s="25" t="n"/>
      <c r="C63" s="25" t="n"/>
      <c r="D63" s="25" t="n"/>
      <c r="E63" s="25" t="n"/>
      <c r="F63" s="25" t="n"/>
      <c r="G63" s="21" t="n"/>
      <c r="H63" s="21" t="n"/>
    </row>
    <row r="64">
      <c r="A64" s="25" t="n"/>
      <c r="B64" s="25" t="n"/>
      <c r="C64" s="25" t="n"/>
      <c r="D64" s="25" t="n"/>
      <c r="E64" s="25" t="n"/>
      <c r="F64" s="25" t="n"/>
      <c r="G64" s="21" t="n"/>
      <c r="H64" s="21" t="n"/>
    </row>
    <row r="65">
      <c r="A65" s="25" t="n"/>
      <c r="B65" s="25" t="n"/>
      <c r="C65" s="25" t="n"/>
      <c r="D65" s="25" t="n"/>
      <c r="E65" s="25" t="n"/>
      <c r="F65" s="25" t="n"/>
      <c r="G65" s="21" t="n"/>
      <c r="H65" s="21" t="n"/>
    </row>
    <row r="66">
      <c r="A66" s="25" t="n"/>
      <c r="B66" s="25" t="n"/>
      <c r="C66" s="25" t="n"/>
      <c r="D66" s="25" t="n"/>
      <c r="E66" s="25" t="n"/>
      <c r="F66" s="25" t="n"/>
      <c r="G66" s="21" t="n"/>
      <c r="H66" s="21" t="n"/>
    </row>
    <row r="67">
      <c r="A67" s="25" t="n"/>
      <c r="B67" s="25" t="n"/>
      <c r="C67" s="25" t="n"/>
      <c r="D67" s="25" t="n"/>
      <c r="E67" s="25" t="n"/>
      <c r="F67" s="25" t="n"/>
      <c r="G67" s="21" t="n"/>
      <c r="H67" s="21" t="n"/>
    </row>
    <row r="68">
      <c r="A68" s="25" t="n"/>
      <c r="B68" s="25" t="n"/>
      <c r="C68" s="25" t="n"/>
      <c r="D68" s="25" t="n"/>
      <c r="E68" s="25" t="n"/>
      <c r="F68" s="25" t="n"/>
      <c r="G68" s="21" t="n"/>
      <c r="H68" s="21" t="n"/>
    </row>
    <row r="69">
      <c r="A69" s="25" t="n"/>
      <c r="B69" s="25" t="n"/>
      <c r="C69" s="25" t="n"/>
      <c r="D69" s="25" t="n"/>
      <c r="E69" s="25" t="n"/>
      <c r="F69" s="25" t="n"/>
      <c r="G69" s="21" t="n"/>
      <c r="H69" s="21" t="n"/>
    </row>
    <row r="70">
      <c r="A70" s="25" t="n"/>
      <c r="B70" s="25" t="n"/>
      <c r="C70" s="25" t="n"/>
      <c r="D70" s="25" t="n"/>
      <c r="E70" s="25" t="n"/>
      <c r="F70" s="25" t="n"/>
      <c r="G70" s="21" t="n"/>
      <c r="H70" s="21" t="n"/>
    </row>
    <row r="71">
      <c r="A71" s="25" t="n"/>
      <c r="B71" s="25" t="n"/>
      <c r="C71" s="25" t="n"/>
      <c r="D71" s="25" t="n"/>
      <c r="E71" s="25" t="n"/>
      <c r="F71" s="25" t="n"/>
      <c r="G71" s="21" t="n"/>
      <c r="H71" s="21" t="n"/>
    </row>
    <row r="72">
      <c r="A72" s="25" t="n"/>
      <c r="B72" s="25" t="n"/>
      <c r="C72" s="25" t="n"/>
      <c r="D72" s="25" t="n"/>
      <c r="E72" s="25" t="n"/>
      <c r="F72" s="25" t="n"/>
      <c r="G72" s="21" t="n"/>
      <c r="H72" s="21" t="n"/>
    </row>
    <row r="73">
      <c r="A73" s="25" t="n"/>
      <c r="B73" s="25" t="n"/>
      <c r="C73" s="25" t="n"/>
      <c r="D73" s="25" t="n"/>
      <c r="E73" s="25" t="n"/>
      <c r="F73" s="25" t="n"/>
      <c r="G73" s="21" t="n"/>
      <c r="H73" s="21" t="n"/>
    </row>
    <row r="74">
      <c r="A74" s="25" t="n"/>
      <c r="B74" s="25" t="n"/>
      <c r="C74" s="25" t="n"/>
      <c r="D74" s="25" t="n"/>
      <c r="E74" s="25" t="n"/>
      <c r="F74" s="25" t="n"/>
      <c r="G74" s="21" t="n"/>
      <c r="H74" s="21" t="n"/>
    </row>
    <row r="75">
      <c r="A75" s="25" t="n"/>
      <c r="B75" s="25" t="n"/>
      <c r="C75" s="25" t="n"/>
      <c r="D75" s="25" t="n"/>
      <c r="E75" s="25" t="n"/>
      <c r="F75" s="25" t="n"/>
      <c r="G75" s="21" t="n"/>
      <c r="H75" s="21" t="n"/>
    </row>
    <row r="76">
      <c r="A76" s="25" t="n"/>
      <c r="B76" s="25" t="n"/>
      <c r="C76" s="25" t="n"/>
      <c r="D76" s="25" t="n"/>
      <c r="E76" s="25" t="n"/>
      <c r="F76" s="25" t="n"/>
      <c r="G76" s="21" t="n"/>
      <c r="H76" s="21" t="n"/>
    </row>
    <row r="77">
      <c r="A77" s="25" t="n"/>
      <c r="B77" s="25" t="n"/>
      <c r="C77" s="25" t="n"/>
      <c r="D77" s="25" t="n"/>
      <c r="E77" s="25" t="n"/>
      <c r="F77" s="25" t="n"/>
      <c r="G77" s="21" t="n"/>
      <c r="H77" s="21" t="n"/>
    </row>
    <row r="78">
      <c r="A78" s="25" t="n"/>
      <c r="B78" s="25" t="n"/>
      <c r="C78" s="25" t="n"/>
      <c r="D78" s="25" t="n"/>
      <c r="E78" s="25" t="n"/>
      <c r="F78" s="25" t="n"/>
      <c r="G78" s="21" t="n"/>
      <c r="H78" s="21" t="n"/>
    </row>
    <row r="79">
      <c r="A79" s="25" t="n"/>
      <c r="B79" s="25" t="n"/>
      <c r="C79" s="25" t="n"/>
      <c r="D79" s="25" t="n"/>
      <c r="E79" s="25" t="n"/>
      <c r="F79" s="25" t="n"/>
      <c r="G79" s="21" t="n"/>
      <c r="H79" s="21" t="n"/>
    </row>
    <row r="80">
      <c r="A80" s="25" t="n"/>
      <c r="B80" s="25" t="n"/>
      <c r="C80" s="25" t="n"/>
      <c r="D80" s="25" t="n"/>
      <c r="E80" s="25" t="n"/>
      <c r="F80" s="25" t="n"/>
      <c r="G80" s="21" t="n"/>
      <c r="H80" s="21" t="n"/>
    </row>
    <row r="81">
      <c r="A81" s="25" t="n"/>
      <c r="B81" s="25" t="n"/>
      <c r="C81" s="25" t="n"/>
      <c r="D81" s="25" t="n"/>
      <c r="E81" s="25" t="n"/>
      <c r="F81" s="25" t="n"/>
      <c r="G81" s="21" t="n"/>
      <c r="H81" s="21" t="n"/>
    </row>
    <row r="82">
      <c r="A82" s="25" t="n"/>
      <c r="B82" s="25" t="n"/>
      <c r="C82" s="25" t="n"/>
      <c r="D82" s="25" t="n"/>
      <c r="E82" s="25" t="n"/>
      <c r="F82" s="25" t="n"/>
      <c r="G82" s="21" t="n"/>
      <c r="H82" s="21" t="n"/>
    </row>
    <row r="83">
      <c r="A83" s="25" t="n"/>
      <c r="B83" s="25" t="n"/>
      <c r="C83" s="25" t="n"/>
      <c r="D83" s="25" t="n"/>
      <c r="E83" s="25" t="n"/>
      <c r="F83" s="25" t="n"/>
      <c r="G83" s="21" t="n"/>
      <c r="H83" s="21" t="n"/>
    </row>
    <row r="84">
      <c r="A84" s="25" t="n"/>
      <c r="B84" s="25" t="n"/>
      <c r="C84" s="25" t="n"/>
      <c r="D84" s="25" t="n"/>
      <c r="E84" s="25" t="n"/>
      <c r="F84" s="25" t="n"/>
      <c r="G84" s="21" t="n"/>
      <c r="H84" s="21" t="n"/>
    </row>
    <row r="85">
      <c r="A85" s="25" t="n"/>
      <c r="B85" s="25" t="n"/>
      <c r="C85" s="25" t="n"/>
      <c r="D85" s="25" t="n"/>
      <c r="E85" s="25" t="n"/>
      <c r="F85" s="25" t="n"/>
      <c r="G85" s="21" t="n"/>
      <c r="H85" s="21" t="n"/>
    </row>
    <row r="86">
      <c r="A86" s="25" t="n"/>
      <c r="B86" s="25" t="n"/>
      <c r="C86" s="25" t="n"/>
      <c r="D86" s="25" t="n"/>
      <c r="E86" s="25" t="n"/>
      <c r="F86" s="25" t="n"/>
      <c r="G86" s="21" t="n"/>
      <c r="H86" s="21" t="n"/>
    </row>
    <row r="87">
      <c r="A87" s="25" t="n"/>
      <c r="B87" s="25" t="n"/>
      <c r="C87" s="25" t="n"/>
      <c r="D87" s="25" t="n"/>
      <c r="E87" s="25" t="n"/>
      <c r="F87" s="25" t="n"/>
      <c r="G87" s="21" t="n"/>
      <c r="H87" s="21" t="n"/>
    </row>
    <row r="88">
      <c r="A88" s="25" t="n"/>
      <c r="B88" s="25" t="n"/>
      <c r="C88" s="25" t="n"/>
      <c r="D88" s="25" t="n"/>
      <c r="E88" s="25" t="n"/>
      <c r="F88" s="25" t="n"/>
      <c r="G88" s="21" t="n"/>
      <c r="H88" s="21" t="n"/>
    </row>
    <row r="89">
      <c r="A89" s="25" t="n"/>
      <c r="B89" s="25" t="n"/>
      <c r="C89" s="25" t="n"/>
      <c r="D89" s="25" t="n"/>
      <c r="E89" s="25" t="n"/>
      <c r="F89" s="25" t="n"/>
      <c r="G89" s="21" t="n"/>
      <c r="H89" s="21" t="n"/>
    </row>
    <row r="90">
      <c r="A90" s="25" t="n"/>
      <c r="B90" s="25" t="n"/>
      <c r="C90" s="25" t="n"/>
      <c r="D90" s="25" t="n"/>
      <c r="E90" s="25" t="n"/>
      <c r="F90" s="25" t="n"/>
      <c r="G90" s="21" t="n"/>
      <c r="H90" s="21" t="n"/>
    </row>
    <row r="91">
      <c r="A91" s="25" t="n"/>
      <c r="B91" s="25" t="n"/>
      <c r="C91" s="25" t="n"/>
      <c r="D91" s="25" t="n"/>
      <c r="E91" s="25" t="n"/>
      <c r="F91" s="25" t="n"/>
      <c r="G91" s="21" t="n"/>
      <c r="H91" s="21" t="n"/>
    </row>
    <row r="92">
      <c r="A92" s="25" t="n"/>
      <c r="B92" s="25" t="n"/>
      <c r="C92" s="25" t="n"/>
      <c r="D92" s="25" t="n"/>
      <c r="E92" s="25" t="n"/>
      <c r="F92" s="25" t="n"/>
      <c r="G92" s="21" t="n"/>
      <c r="H92" s="21" t="n"/>
    </row>
    <row r="93">
      <c r="A93" s="25" t="n"/>
      <c r="B93" s="25" t="n"/>
      <c r="C93" s="25" t="n"/>
      <c r="D93" s="25" t="n"/>
      <c r="E93" s="25" t="n"/>
      <c r="F93" s="25" t="n"/>
      <c r="G93" s="21" t="n"/>
      <c r="H93" s="21" t="n"/>
    </row>
    <row r="94">
      <c r="A94" s="25" t="n"/>
      <c r="B94" s="25" t="n"/>
      <c r="C94" s="25" t="n"/>
      <c r="D94" s="25" t="n"/>
      <c r="E94" s="25" t="n"/>
      <c r="F94" s="25" t="n"/>
      <c r="G94" s="21" t="n"/>
      <c r="H94" s="21" t="n"/>
    </row>
    <row r="95">
      <c r="A95" s="25" t="n"/>
      <c r="B95" s="25" t="n"/>
      <c r="C95" s="25" t="n"/>
      <c r="D95" s="25" t="n"/>
      <c r="E95" s="25" t="n"/>
      <c r="F95" s="25" t="n"/>
      <c r="G95" s="21" t="n"/>
      <c r="H95" s="21" t="n"/>
    </row>
    <row r="96">
      <c r="A96" s="25" t="n"/>
      <c r="B96" s="25" t="n"/>
      <c r="C96" s="25" t="n"/>
      <c r="D96" s="25" t="n"/>
      <c r="E96" s="25" t="n"/>
      <c r="F96" s="25" t="n"/>
      <c r="G96" s="21" t="n"/>
      <c r="H96" s="21" t="n"/>
    </row>
    <row r="97">
      <c r="A97" s="25" t="n"/>
      <c r="B97" s="25" t="n"/>
      <c r="C97" s="25" t="n"/>
      <c r="D97" s="25" t="n"/>
      <c r="E97" s="25" t="n"/>
      <c r="F97" s="25" t="n"/>
      <c r="G97" s="21" t="n"/>
      <c r="H97" s="21" t="n"/>
    </row>
    <row r="98">
      <c r="A98" s="25" t="n"/>
      <c r="B98" s="25" t="n"/>
      <c r="C98" s="25" t="n"/>
      <c r="D98" s="25" t="n"/>
      <c r="E98" s="25" t="n"/>
      <c r="F98" s="25" t="n"/>
      <c r="G98" s="21" t="n"/>
      <c r="H98" s="21" t="n"/>
    </row>
    <row r="99">
      <c r="A99" s="25" t="n"/>
      <c r="B99" s="25" t="n"/>
      <c r="C99" s="25" t="n"/>
      <c r="D99" s="25" t="n"/>
      <c r="E99" s="25" t="n"/>
      <c r="F99" s="25" t="n"/>
      <c r="G99" s="21" t="n"/>
      <c r="H99" s="21" t="n"/>
    </row>
    <row r="100">
      <c r="A100" s="25" t="n"/>
      <c r="B100" s="25" t="n"/>
      <c r="C100" s="25" t="n"/>
      <c r="D100" s="25" t="n"/>
      <c r="E100" s="25" t="n"/>
      <c r="F100" s="25" t="n"/>
      <c r="G100" s="21" t="n"/>
      <c r="H100" s="21" t="n"/>
    </row>
    <row r="101">
      <c r="A101" s="25" t="n"/>
      <c r="B101" s="25" t="n"/>
      <c r="C101" s="25" t="n"/>
      <c r="D101" s="25" t="n"/>
      <c r="E101" s="25" t="n"/>
      <c r="F101" s="25" t="n"/>
      <c r="G101" s="21" t="n"/>
      <c r="H101" s="21" t="n"/>
    </row>
    <row r="102">
      <c r="A102" s="25" t="n"/>
      <c r="B102" s="25" t="n"/>
      <c r="C102" s="25" t="n"/>
      <c r="D102" s="25" t="n"/>
      <c r="E102" s="25" t="n"/>
      <c r="F102" s="25" t="n"/>
      <c r="G102" s="21" t="n"/>
      <c r="H102" s="21" t="n"/>
    </row>
    <row r="103">
      <c r="A103" s="25" t="n"/>
      <c r="B103" s="25" t="n"/>
      <c r="C103" s="25" t="n"/>
      <c r="D103" s="25" t="n"/>
      <c r="E103" s="25" t="n"/>
      <c r="F103" s="25" t="n"/>
      <c r="G103" s="21" t="n"/>
      <c r="H103" s="21" t="n"/>
    </row>
    <row r="104">
      <c r="A104" s="25" t="n"/>
      <c r="B104" s="25" t="n"/>
      <c r="C104" s="25" t="n"/>
      <c r="D104" s="25" t="n"/>
      <c r="E104" s="25" t="n"/>
      <c r="F104" s="25" t="n"/>
      <c r="G104" s="21" t="n"/>
      <c r="H104" s="21" t="n"/>
    </row>
    <row r="105">
      <c r="A105" s="25" t="n"/>
      <c r="B105" s="25" t="n"/>
      <c r="C105" s="25" t="n"/>
      <c r="D105" s="25" t="n"/>
      <c r="E105" s="25" t="n"/>
      <c r="F105" s="25" t="n"/>
      <c r="G105" s="21" t="n"/>
      <c r="H105" s="21" t="n"/>
    </row>
    <row r="106">
      <c r="A106" s="25" t="n"/>
      <c r="B106" s="25" t="n"/>
      <c r="C106" s="25" t="n"/>
      <c r="D106" s="25" t="n"/>
      <c r="E106" s="25" t="n"/>
      <c r="F106" s="25" t="n"/>
      <c r="G106" s="21" t="n"/>
      <c r="H106" s="21" t="n"/>
    </row>
    <row r="107">
      <c r="A107" s="25" t="n"/>
      <c r="B107" s="25" t="n"/>
      <c r="C107" s="25" t="n"/>
      <c r="D107" s="25" t="n"/>
      <c r="E107" s="25" t="n"/>
      <c r="F107" s="25" t="n"/>
      <c r="G107" s="21" t="n"/>
      <c r="H107" s="21" t="n"/>
    </row>
    <row r="108">
      <c r="A108" s="25" t="n"/>
      <c r="B108" s="25" t="n"/>
      <c r="C108" s="25" t="n"/>
      <c r="D108" s="25" t="n"/>
      <c r="E108" s="25" t="n"/>
      <c r="F108" s="25" t="n"/>
      <c r="G108" s="21" t="n"/>
      <c r="H108" s="21" t="n"/>
    </row>
    <row r="109">
      <c r="A109" s="25" t="n"/>
      <c r="B109" s="25" t="n"/>
      <c r="C109" s="25" t="n"/>
      <c r="D109" s="25" t="n"/>
      <c r="E109" s="25" t="n"/>
      <c r="F109" s="25" t="n"/>
      <c r="G109" s="21" t="n"/>
      <c r="H109" s="21" t="n"/>
    </row>
    <row r="110">
      <c r="A110" s="25" t="n"/>
      <c r="B110" s="25" t="n"/>
      <c r="C110" s="25" t="n"/>
      <c r="D110" s="25" t="n"/>
      <c r="E110" s="25" t="n"/>
      <c r="F110" s="25" t="n"/>
      <c r="G110" s="21" t="n"/>
      <c r="H110" s="21" t="n"/>
    </row>
    <row r="111">
      <c r="A111" s="25" t="n"/>
      <c r="B111" s="25" t="n"/>
      <c r="C111" s="25" t="n"/>
      <c r="D111" s="25" t="n"/>
      <c r="E111" s="25" t="n"/>
      <c r="F111" s="25" t="n"/>
      <c r="G111" s="21" t="n"/>
      <c r="H111" s="21" t="n"/>
    </row>
    <row r="112">
      <c r="A112" s="25" t="n"/>
      <c r="B112" s="25" t="n"/>
      <c r="C112" s="25" t="n"/>
      <c r="D112" s="25" t="n"/>
      <c r="E112" s="25" t="n"/>
      <c r="F112" s="25" t="n"/>
      <c r="G112" s="21" t="n"/>
      <c r="H112" s="21" t="n"/>
    </row>
    <row r="113">
      <c r="A113" s="25" t="n"/>
      <c r="B113" s="25" t="n"/>
      <c r="C113" s="25" t="n"/>
      <c r="D113" s="25" t="n"/>
      <c r="E113" s="25" t="n"/>
      <c r="F113" s="25" t="n"/>
      <c r="G113" s="21" t="n"/>
      <c r="H113" s="21" t="n"/>
    </row>
    <row r="114">
      <c r="A114" s="25" t="n"/>
      <c r="B114" s="25" t="n"/>
      <c r="C114" s="25" t="n"/>
      <c r="D114" s="25" t="n"/>
      <c r="E114" s="25" t="n"/>
      <c r="F114" s="25" t="n"/>
      <c r="G114" s="21" t="n"/>
      <c r="H114" s="21" t="n"/>
    </row>
    <row r="115">
      <c r="A115" s="25" t="n"/>
      <c r="B115" s="25" t="n"/>
      <c r="C115" s="25" t="n"/>
      <c r="D115" s="25" t="n"/>
      <c r="E115" s="25" t="n"/>
      <c r="F115" s="25" t="n"/>
      <c r="G115" s="21" t="n"/>
      <c r="H115" s="21" t="n"/>
    </row>
    <row r="116">
      <c r="A116" s="25" t="n"/>
      <c r="B116" s="25" t="n"/>
      <c r="C116" s="25" t="n"/>
      <c r="D116" s="25" t="n"/>
      <c r="E116" s="25" t="n"/>
      <c r="F116" s="25" t="n"/>
      <c r="G116" s="21" t="n"/>
      <c r="H116" s="21" t="n"/>
    </row>
    <row r="117">
      <c r="A117" s="25" t="n"/>
      <c r="B117" s="25" t="n"/>
      <c r="C117" s="25" t="n"/>
      <c r="D117" s="25" t="n"/>
      <c r="E117" s="25" t="n"/>
      <c r="F117" s="25" t="n"/>
      <c r="G117" s="21" t="n"/>
      <c r="H117" s="21" t="n"/>
    </row>
    <row r="118">
      <c r="A118" s="25" t="n"/>
      <c r="B118" s="25" t="n"/>
      <c r="C118" s="25" t="n"/>
      <c r="D118" s="25" t="n"/>
      <c r="E118" s="25" t="n"/>
      <c r="F118" s="25" t="n"/>
      <c r="G118" s="21" t="n"/>
      <c r="H118" s="21" t="n"/>
    </row>
    <row r="119">
      <c r="A119" s="25" t="n"/>
      <c r="B119" s="25" t="n"/>
      <c r="C119" s="25" t="n"/>
      <c r="D119" s="25" t="n"/>
      <c r="E119" s="25" t="n"/>
      <c r="F119" s="25" t="n"/>
      <c r="G119" s="21" t="n"/>
      <c r="H119" s="21" t="n"/>
    </row>
    <row r="120">
      <c r="A120" s="25" t="n"/>
      <c r="B120" s="25" t="n"/>
      <c r="C120" s="25" t="n"/>
      <c r="D120" s="25" t="n"/>
      <c r="E120" s="25" t="n"/>
      <c r="F120" s="25" t="n"/>
      <c r="G120" s="21" t="n"/>
      <c r="H120" s="21" t="n"/>
    </row>
    <row r="121">
      <c r="A121" s="25" t="n"/>
      <c r="B121" s="25" t="n"/>
      <c r="C121" s="25" t="n"/>
      <c r="D121" s="25" t="n"/>
      <c r="E121" s="25" t="n"/>
      <c r="F121" s="25" t="n"/>
      <c r="G121" s="21" t="n"/>
      <c r="H121" s="21" t="n"/>
    </row>
    <row r="122">
      <c r="A122" s="25" t="n"/>
      <c r="B122" s="25" t="n"/>
      <c r="C122" s="25" t="n"/>
      <c r="D122" s="25" t="n"/>
      <c r="E122" s="25" t="n"/>
      <c r="F122" s="25" t="n"/>
      <c r="G122" s="21" t="n"/>
      <c r="H122" s="21" t="n"/>
    </row>
    <row r="123">
      <c r="A123" s="25" t="n"/>
      <c r="B123" s="25" t="n"/>
      <c r="C123" s="25" t="n"/>
      <c r="D123" s="25" t="n"/>
      <c r="E123" s="25" t="n"/>
      <c r="F123" s="25" t="n"/>
      <c r="G123" s="21" t="n"/>
      <c r="H123" s="21" t="n"/>
    </row>
    <row r="124">
      <c r="A124" s="25" t="n"/>
      <c r="B124" s="25" t="n"/>
      <c r="C124" s="25" t="n"/>
      <c r="D124" s="25" t="n"/>
      <c r="E124" s="25" t="n"/>
      <c r="F124" s="25" t="n"/>
      <c r="G124" s="21" t="n"/>
      <c r="H124" s="21" t="n"/>
    </row>
    <row r="125">
      <c r="A125" s="25" t="n"/>
      <c r="B125" s="25" t="n"/>
      <c r="C125" s="25" t="n"/>
      <c r="D125" s="25" t="n"/>
      <c r="E125" s="25" t="n"/>
      <c r="F125" s="25" t="n"/>
      <c r="G125" s="21" t="n"/>
      <c r="H125" s="21" t="n"/>
    </row>
    <row r="126">
      <c r="A126" s="25" t="n"/>
      <c r="B126" s="25" t="n"/>
      <c r="C126" s="25" t="n"/>
      <c r="D126" s="25" t="n"/>
      <c r="E126" s="25" t="n"/>
      <c r="F126" s="25" t="n"/>
      <c r="G126" s="21" t="n"/>
      <c r="H126" s="21" t="n"/>
    </row>
    <row r="127">
      <c r="A127" s="25" t="n"/>
      <c r="B127" s="25" t="n"/>
      <c r="C127" s="25" t="n"/>
      <c r="D127" s="25" t="n"/>
      <c r="E127" s="25" t="n"/>
      <c r="F127" s="25" t="n"/>
      <c r="G127" s="21" t="n"/>
      <c r="H127" s="21" t="n"/>
    </row>
    <row r="128">
      <c r="A128" s="25" t="n"/>
      <c r="B128" s="25" t="n"/>
      <c r="C128" s="25" t="n"/>
      <c r="D128" s="25" t="n"/>
      <c r="E128" s="25" t="n"/>
      <c r="F128" s="25" t="n"/>
      <c r="G128" s="21" t="n"/>
      <c r="H128" s="21" t="n"/>
    </row>
    <row r="129">
      <c r="A129" s="25" t="n"/>
      <c r="B129" s="25" t="n"/>
      <c r="C129" s="25" t="n"/>
      <c r="D129" s="25" t="n"/>
      <c r="E129" s="25" t="n"/>
      <c r="F129" s="25" t="n"/>
      <c r="G129" s="21" t="n"/>
      <c r="H129" s="21" t="n"/>
    </row>
    <row r="130">
      <c r="A130" s="25" t="n"/>
      <c r="B130" s="25" t="n"/>
      <c r="C130" s="25" t="n"/>
      <c r="D130" s="25" t="n"/>
      <c r="E130" s="25" t="n"/>
      <c r="F130" s="25" t="n"/>
      <c r="G130" s="21" t="n"/>
      <c r="H130" s="21" t="n"/>
    </row>
    <row r="131">
      <c r="A131" s="25" t="n"/>
      <c r="B131" s="25" t="n"/>
      <c r="C131" s="25" t="n"/>
      <c r="D131" s="25" t="n"/>
      <c r="E131" s="25" t="n"/>
      <c r="F131" s="25" t="n"/>
      <c r="G131" s="21" t="n"/>
      <c r="H131" s="21" t="n"/>
    </row>
    <row r="132">
      <c r="A132" s="25" t="n"/>
      <c r="B132" s="25" t="n"/>
      <c r="C132" s="25" t="n"/>
      <c r="D132" s="25" t="n"/>
      <c r="E132" s="25" t="n"/>
      <c r="F132" s="25" t="n"/>
      <c r="G132" s="21" t="n"/>
      <c r="H132" s="21" t="n"/>
    </row>
    <row r="133">
      <c r="A133" s="25" t="n"/>
      <c r="B133" s="25" t="n"/>
      <c r="C133" s="25" t="n"/>
      <c r="D133" s="25" t="n"/>
      <c r="E133" s="25" t="n"/>
      <c r="F133" s="25" t="n"/>
      <c r="G133" s="21" t="n"/>
      <c r="H133" s="21" t="n"/>
    </row>
    <row r="134">
      <c r="A134" s="25" t="n"/>
      <c r="B134" s="25" t="n"/>
      <c r="C134" s="25" t="n"/>
      <c r="D134" s="25" t="n"/>
      <c r="E134" s="25" t="n"/>
      <c r="F134" s="25" t="n"/>
      <c r="G134" s="21" t="n"/>
      <c r="H134" s="21" t="n"/>
    </row>
    <row r="135">
      <c r="A135" s="25" t="n"/>
      <c r="B135" s="25" t="n"/>
      <c r="C135" s="25" t="n"/>
      <c r="D135" s="25" t="n"/>
      <c r="E135" s="25" t="n"/>
      <c r="F135" s="25" t="n"/>
      <c r="G135" s="21" t="n"/>
      <c r="H135" s="21" t="n"/>
    </row>
    <row r="136">
      <c r="A136" s="25" t="n"/>
      <c r="B136" s="25" t="n"/>
      <c r="C136" s="25" t="n"/>
      <c r="D136" s="25" t="n"/>
      <c r="E136" s="25" t="n"/>
      <c r="F136" s="25" t="n"/>
      <c r="G136" s="21" t="n"/>
      <c r="H136" s="21" t="n"/>
    </row>
    <row r="137">
      <c r="A137" s="25" t="n"/>
      <c r="B137" s="25" t="n"/>
      <c r="C137" s="25" t="n"/>
      <c r="D137" s="25" t="n"/>
      <c r="E137" s="25" t="n"/>
      <c r="F137" s="25" t="n"/>
      <c r="G137" s="21" t="n"/>
      <c r="H137" s="21" t="n"/>
    </row>
    <row r="138">
      <c r="A138" s="25" t="n"/>
      <c r="B138" s="25" t="n"/>
      <c r="C138" s="25" t="n"/>
      <c r="D138" s="25" t="n"/>
      <c r="E138" s="25" t="n"/>
      <c r="F138" s="25" t="n"/>
      <c r="G138" s="21" t="n"/>
      <c r="H138" s="21" t="n"/>
    </row>
    <row r="139">
      <c r="A139" s="25" t="n"/>
      <c r="B139" s="25" t="n"/>
      <c r="C139" s="25" t="n"/>
      <c r="D139" s="25" t="n"/>
      <c r="E139" s="25" t="n"/>
      <c r="F139" s="25" t="n"/>
      <c r="G139" s="21" t="n"/>
      <c r="H139" s="21" t="n"/>
    </row>
    <row r="140">
      <c r="A140" s="25" t="n"/>
      <c r="B140" s="25" t="n"/>
      <c r="C140" s="25" t="n"/>
      <c r="D140" s="25" t="n"/>
      <c r="E140" s="25" t="n"/>
      <c r="F140" s="25" t="n"/>
      <c r="G140" s="21" t="n"/>
      <c r="H140" s="21" t="n"/>
    </row>
    <row r="141">
      <c r="A141" s="25" t="n"/>
      <c r="B141" s="25" t="n"/>
      <c r="C141" s="25" t="n"/>
      <c r="D141" s="25" t="n"/>
      <c r="E141" s="25" t="n"/>
      <c r="F141" s="25" t="n"/>
      <c r="G141" s="21" t="n"/>
      <c r="H141" s="21" t="n"/>
    </row>
    <row r="142">
      <c r="A142" s="25" t="n"/>
      <c r="B142" s="25" t="n"/>
      <c r="C142" s="25" t="n"/>
      <c r="D142" s="25" t="n"/>
      <c r="E142" s="25" t="n"/>
      <c r="F142" s="25" t="n"/>
      <c r="G142" s="21" t="n"/>
      <c r="H142" s="21" t="n"/>
    </row>
    <row r="143">
      <c r="A143" s="25" t="n"/>
      <c r="B143" s="25" t="n"/>
      <c r="C143" s="25" t="n"/>
      <c r="D143" s="25" t="n"/>
      <c r="E143" s="25" t="n"/>
      <c r="F143" s="25" t="n"/>
      <c r="G143" s="21" t="n"/>
      <c r="H143" s="21" t="n"/>
    </row>
    <row r="144">
      <c r="A144" s="25" t="n"/>
      <c r="B144" s="25" t="n"/>
      <c r="C144" s="25" t="n"/>
      <c r="D144" s="25" t="n"/>
      <c r="E144" s="25" t="n"/>
      <c r="F144" s="25" t="n"/>
      <c r="G144" s="21" t="n"/>
      <c r="H144" s="21" t="n"/>
    </row>
    <row r="145">
      <c r="A145" s="25" t="n"/>
      <c r="B145" s="25" t="n"/>
      <c r="C145" s="25" t="n"/>
      <c r="D145" s="25" t="n"/>
      <c r="E145" s="25" t="n"/>
      <c r="F145" s="25" t="n"/>
      <c r="G145" s="21" t="n"/>
      <c r="H145" s="21" t="n"/>
    </row>
    <row r="146">
      <c r="A146" s="25" t="n"/>
      <c r="B146" s="25" t="n"/>
      <c r="C146" s="25" t="n"/>
      <c r="D146" s="25" t="n"/>
      <c r="E146" s="25" t="n"/>
      <c r="F146" s="25" t="n"/>
      <c r="G146" s="21" t="n"/>
      <c r="H146" s="21" t="n"/>
    </row>
    <row r="147">
      <c r="A147" s="25" t="n"/>
      <c r="B147" s="25" t="n"/>
      <c r="C147" s="25" t="n"/>
      <c r="D147" s="25" t="n"/>
      <c r="E147" s="25" t="n"/>
      <c r="F147" s="25" t="n"/>
      <c r="G147" s="21" t="n"/>
      <c r="H147" s="21" t="n"/>
    </row>
    <row r="148">
      <c r="A148" s="25" t="n"/>
      <c r="B148" s="25" t="n"/>
      <c r="C148" s="25" t="n"/>
      <c r="D148" s="25" t="n"/>
      <c r="E148" s="25" t="n"/>
      <c r="F148" s="25" t="n"/>
      <c r="G148" s="21" t="n"/>
      <c r="H148" s="21" t="n"/>
    </row>
    <row r="149">
      <c r="A149" s="25" t="n"/>
      <c r="B149" s="25" t="n"/>
      <c r="C149" s="25" t="n"/>
      <c r="D149" s="25" t="n"/>
      <c r="E149" s="25" t="n"/>
      <c r="F149" s="25" t="n"/>
      <c r="G149" s="21" t="n"/>
      <c r="H149" s="21" t="n"/>
    </row>
    <row r="150">
      <c r="A150" s="25" t="n"/>
      <c r="B150" s="25" t="n"/>
      <c r="C150" s="25" t="n"/>
      <c r="D150" s="25" t="n"/>
      <c r="E150" s="25" t="n"/>
      <c r="F150" s="25" t="n"/>
      <c r="G150" s="21" t="n"/>
      <c r="H150" s="21" t="n"/>
    </row>
    <row r="151">
      <c r="A151" s="25" t="n"/>
      <c r="B151" s="25" t="n"/>
      <c r="C151" s="25" t="n"/>
      <c r="D151" s="25" t="n"/>
      <c r="E151" s="25" t="n"/>
      <c r="F151" s="25" t="n"/>
      <c r="G151" s="21" t="n"/>
      <c r="H151" s="21" t="n"/>
    </row>
    <row r="152">
      <c r="A152" s="25" t="n"/>
      <c r="B152" s="25" t="n"/>
      <c r="C152" s="25" t="n"/>
      <c r="D152" s="25" t="n"/>
      <c r="E152" s="25" t="n"/>
      <c r="F152" s="25" t="n"/>
      <c r="G152" s="21" t="n"/>
      <c r="H152" s="21" t="n"/>
    </row>
    <row r="153">
      <c r="A153" s="25" t="n"/>
      <c r="B153" s="25" t="n"/>
      <c r="C153" s="25" t="n"/>
      <c r="D153" s="25" t="n"/>
      <c r="E153" s="25" t="n"/>
      <c r="F153" s="25" t="n"/>
      <c r="G153" s="21" t="n"/>
      <c r="H153" s="21" t="n"/>
    </row>
    <row r="154">
      <c r="A154" s="25" t="n"/>
      <c r="B154" s="25" t="n"/>
      <c r="C154" s="25" t="n"/>
      <c r="D154" s="25" t="n"/>
      <c r="E154" s="25" t="n"/>
      <c r="F154" s="25" t="n"/>
      <c r="G154" s="21" t="n"/>
      <c r="H154" s="21" t="n"/>
    </row>
    <row r="155">
      <c r="A155" s="25" t="n"/>
      <c r="B155" s="25" t="n"/>
      <c r="C155" s="25" t="n"/>
      <c r="D155" s="25" t="n"/>
      <c r="E155" s="25" t="n"/>
      <c r="F155" s="25" t="n"/>
      <c r="G155" s="21" t="n"/>
      <c r="H155" s="21" t="n"/>
    </row>
    <row r="156">
      <c r="A156" s="25" t="n"/>
      <c r="B156" s="25" t="n"/>
      <c r="C156" s="25" t="n"/>
      <c r="D156" s="25" t="n"/>
      <c r="E156" s="25" t="n"/>
      <c r="F156" s="25" t="n"/>
      <c r="G156" s="21" t="n"/>
      <c r="H156" s="21" t="n"/>
    </row>
    <row r="157">
      <c r="A157" s="25" t="n"/>
      <c r="B157" s="25" t="n"/>
      <c r="C157" s="25" t="n"/>
      <c r="D157" s="25" t="n"/>
      <c r="E157" s="25" t="n"/>
      <c r="F157" s="25" t="n"/>
      <c r="G157" s="21" t="n"/>
      <c r="H157" s="21" t="n"/>
    </row>
    <row r="158">
      <c r="A158" s="25" t="n"/>
      <c r="B158" s="25" t="n"/>
      <c r="C158" s="25" t="n"/>
      <c r="D158" s="25" t="n"/>
      <c r="E158" s="25" t="n"/>
      <c r="F158" s="25" t="n"/>
      <c r="G158" s="21" t="n"/>
      <c r="H158" s="21" t="n"/>
    </row>
    <row r="159">
      <c r="A159" s="25" t="n"/>
      <c r="B159" s="25" t="n"/>
      <c r="C159" s="25" t="n"/>
      <c r="D159" s="25" t="n"/>
      <c r="E159" s="25" t="n"/>
      <c r="F159" s="25" t="n"/>
      <c r="G159" s="21" t="n"/>
      <c r="H159" s="21" t="n"/>
    </row>
    <row r="160">
      <c r="A160" s="25" t="n"/>
      <c r="B160" s="25" t="n"/>
      <c r="C160" s="25" t="n"/>
      <c r="D160" s="25" t="n"/>
      <c r="E160" s="25" t="n"/>
      <c r="F160" s="25" t="n"/>
      <c r="G160" s="21" t="n"/>
      <c r="H160" s="21" t="n"/>
    </row>
    <row r="161">
      <c r="A161" s="25" t="n"/>
      <c r="B161" s="25" t="n"/>
      <c r="C161" s="25" t="n"/>
      <c r="D161" s="25" t="n"/>
      <c r="E161" s="25" t="n"/>
      <c r="F161" s="25" t="n"/>
      <c r="G161" s="21" t="n"/>
      <c r="H161" s="21" t="n"/>
    </row>
    <row r="162">
      <c r="A162" s="25" t="n"/>
      <c r="B162" s="25" t="n"/>
      <c r="C162" s="25" t="n"/>
      <c r="D162" s="25" t="n"/>
      <c r="E162" s="25" t="n"/>
      <c r="F162" s="25" t="n"/>
      <c r="G162" s="21" t="n"/>
      <c r="H162" s="21" t="n"/>
    </row>
    <row r="163">
      <c r="A163" s="25" t="n"/>
      <c r="B163" s="25" t="n"/>
      <c r="C163" s="25" t="n"/>
      <c r="D163" s="25" t="n"/>
      <c r="E163" s="25" t="n"/>
      <c r="F163" s="25" t="n"/>
      <c r="G163" s="21" t="n"/>
      <c r="H163" s="21" t="n"/>
    </row>
    <row r="164">
      <c r="A164" s="25" t="n"/>
      <c r="B164" s="25" t="n"/>
      <c r="C164" s="25" t="n"/>
      <c r="D164" s="25" t="n"/>
      <c r="E164" s="25" t="n"/>
      <c r="F164" s="25" t="n"/>
      <c r="G164" s="21" t="n"/>
      <c r="H164" s="21" t="n"/>
    </row>
    <row r="165">
      <c r="A165" s="25" t="n"/>
      <c r="B165" s="25" t="n"/>
      <c r="C165" s="25" t="n"/>
      <c r="D165" s="25" t="n"/>
      <c r="E165" s="25" t="n"/>
      <c r="F165" s="25" t="n"/>
      <c r="G165" s="21" t="n"/>
      <c r="H165" s="21" t="n"/>
    </row>
    <row r="166">
      <c r="A166" s="25" t="n"/>
      <c r="B166" s="25" t="n"/>
      <c r="C166" s="25" t="n"/>
      <c r="D166" s="25" t="n"/>
      <c r="E166" s="25" t="n"/>
      <c r="F166" s="25" t="n"/>
      <c r="G166" s="21" t="n"/>
      <c r="H166" s="21" t="n"/>
    </row>
    <row r="167">
      <c r="A167" s="25" t="n"/>
      <c r="B167" s="25" t="n"/>
      <c r="C167" s="25" t="n"/>
      <c r="D167" s="25" t="n"/>
      <c r="E167" s="25" t="n"/>
      <c r="F167" s="25" t="n"/>
      <c r="G167" s="21" t="n"/>
      <c r="H167" s="21" t="n"/>
    </row>
    <row r="168">
      <c r="A168" s="25" t="n"/>
      <c r="B168" s="25" t="n"/>
      <c r="C168" s="25" t="n"/>
      <c r="D168" s="25" t="n"/>
      <c r="E168" s="25" t="n"/>
      <c r="F168" s="25" t="n"/>
      <c r="G168" s="21" t="n"/>
      <c r="H168" s="21" t="n"/>
    </row>
    <row r="169">
      <c r="A169" s="25" t="n"/>
      <c r="B169" s="25" t="n"/>
      <c r="C169" s="25" t="n"/>
      <c r="D169" s="25" t="n"/>
      <c r="E169" s="25" t="n"/>
      <c r="F169" s="25" t="n"/>
      <c r="G169" s="21" t="n"/>
      <c r="H169" s="21" t="n"/>
    </row>
    <row r="170">
      <c r="A170" s="25" t="n"/>
      <c r="B170" s="25" t="n"/>
      <c r="C170" s="25" t="n"/>
      <c r="D170" s="25" t="n"/>
      <c r="E170" s="25" t="n"/>
      <c r="F170" s="25" t="n"/>
      <c r="G170" s="21" t="n"/>
      <c r="H170" s="21" t="n"/>
    </row>
    <row r="171">
      <c r="A171" s="25" t="n"/>
      <c r="B171" s="25" t="n"/>
      <c r="C171" s="25" t="n"/>
      <c r="D171" s="25" t="n"/>
      <c r="E171" s="25" t="n"/>
      <c r="F171" s="25" t="n"/>
      <c r="G171" s="21" t="n"/>
      <c r="H171" s="21" t="n"/>
    </row>
    <row r="172">
      <c r="A172" s="25" t="n"/>
      <c r="B172" s="25" t="n"/>
      <c r="C172" s="25" t="n"/>
      <c r="D172" s="25" t="n"/>
      <c r="E172" s="25" t="n"/>
      <c r="F172" s="25" t="n"/>
      <c r="G172" s="21" t="n"/>
      <c r="H172" s="21" t="n"/>
    </row>
    <row r="173">
      <c r="A173" s="25" t="n"/>
      <c r="B173" s="25" t="n"/>
      <c r="C173" s="25" t="n"/>
      <c r="D173" s="25" t="n"/>
      <c r="E173" s="25" t="n"/>
      <c r="F173" s="25" t="n"/>
      <c r="G173" s="21" t="n"/>
      <c r="H173" s="21" t="n"/>
    </row>
    <row r="174">
      <c r="A174" s="25" t="n"/>
      <c r="B174" s="25" t="n"/>
      <c r="C174" s="25" t="n"/>
      <c r="D174" s="25" t="n"/>
      <c r="E174" s="25" t="n"/>
      <c r="F174" s="25" t="n"/>
      <c r="G174" s="21" t="n"/>
      <c r="H174" s="21" t="n"/>
    </row>
    <row r="175">
      <c r="A175" s="25" t="n"/>
      <c r="B175" s="25" t="n"/>
      <c r="C175" s="25" t="n"/>
      <c r="D175" s="25" t="n"/>
      <c r="E175" s="25" t="n"/>
      <c r="F175" s="25" t="n"/>
      <c r="G175" s="21" t="n"/>
      <c r="H175" s="21" t="n"/>
    </row>
    <row r="176">
      <c r="A176" s="25" t="n"/>
      <c r="B176" s="25" t="n"/>
      <c r="C176" s="25" t="n"/>
      <c r="D176" s="25" t="n"/>
      <c r="E176" s="25" t="n"/>
      <c r="F176" s="25" t="n"/>
      <c r="G176" s="21" t="n"/>
      <c r="H176" s="21" t="n"/>
    </row>
    <row r="177">
      <c r="A177" s="25" t="n"/>
      <c r="B177" s="25" t="n"/>
      <c r="C177" s="25" t="n"/>
      <c r="D177" s="25" t="n"/>
      <c r="E177" s="25" t="n"/>
      <c r="F177" s="25" t="n"/>
      <c r="G177" s="21" t="n"/>
      <c r="H177" s="21" t="n"/>
    </row>
    <row r="178">
      <c r="A178" s="25" t="n"/>
      <c r="B178" s="25" t="n"/>
      <c r="C178" s="25" t="n"/>
      <c r="D178" s="25" t="n"/>
      <c r="E178" s="25" t="n"/>
      <c r="F178" s="25" t="n"/>
      <c r="G178" s="21" t="n"/>
      <c r="H178" s="21" t="n"/>
    </row>
    <row r="179">
      <c r="A179" s="25" t="n"/>
      <c r="B179" s="25" t="n"/>
      <c r="C179" s="25" t="n"/>
      <c r="D179" s="25" t="n"/>
      <c r="E179" s="25" t="n"/>
      <c r="F179" s="25" t="n"/>
      <c r="G179" s="21" t="n"/>
      <c r="H179" s="21" t="n"/>
    </row>
    <row r="180">
      <c r="A180" s="25" t="n"/>
      <c r="B180" s="25" t="n"/>
      <c r="C180" s="25" t="n"/>
      <c r="D180" s="25" t="n"/>
      <c r="E180" s="25" t="n"/>
      <c r="F180" s="25" t="n"/>
      <c r="G180" s="21" t="n"/>
      <c r="H180" s="21" t="n"/>
    </row>
    <row r="181">
      <c r="A181" s="25" t="n"/>
      <c r="B181" s="25" t="n"/>
      <c r="C181" s="25" t="n"/>
      <c r="D181" s="25" t="n"/>
      <c r="E181" s="25" t="n"/>
      <c r="F181" s="25" t="n"/>
      <c r="G181" s="21" t="n"/>
      <c r="H181" s="21" t="n"/>
    </row>
    <row r="182">
      <c r="A182" s="25" t="n"/>
      <c r="B182" s="25" t="n"/>
      <c r="C182" s="25" t="n"/>
      <c r="D182" s="25" t="n"/>
      <c r="E182" s="25" t="n"/>
      <c r="F182" s="25" t="n"/>
      <c r="G182" s="21" t="n"/>
      <c r="H182" s="21" t="n"/>
    </row>
    <row r="183">
      <c r="A183" s="25" t="n"/>
      <c r="B183" s="25" t="n"/>
      <c r="C183" s="25" t="n"/>
      <c r="D183" s="25" t="n"/>
      <c r="E183" s="25" t="n"/>
      <c r="F183" s="25" t="n"/>
      <c r="G183" s="21" t="n"/>
      <c r="H183" s="21" t="n"/>
    </row>
    <row r="184">
      <c r="A184" s="25" t="n"/>
      <c r="B184" s="25" t="n"/>
      <c r="C184" s="25" t="n"/>
      <c r="D184" s="25" t="n"/>
      <c r="E184" s="25" t="n"/>
      <c r="F184" s="25" t="n"/>
      <c r="G184" s="21" t="n"/>
      <c r="H184" s="21" t="n"/>
    </row>
    <row r="185">
      <c r="A185" s="25" t="n"/>
      <c r="B185" s="25" t="n"/>
      <c r="C185" s="25" t="n"/>
      <c r="D185" s="25" t="n"/>
      <c r="E185" s="25" t="n"/>
      <c r="F185" s="25" t="n"/>
      <c r="G185" s="21" t="n"/>
      <c r="H185" s="21" t="n"/>
    </row>
    <row r="186">
      <c r="A186" s="25" t="n"/>
      <c r="B186" s="25" t="n"/>
      <c r="C186" s="25" t="n"/>
      <c r="D186" s="25" t="n"/>
      <c r="E186" s="25" t="n"/>
      <c r="F186" s="25" t="n"/>
      <c r="G186" s="21" t="n"/>
      <c r="H186" s="21" t="n"/>
    </row>
    <row r="187">
      <c r="A187" s="25" t="n"/>
      <c r="B187" s="25" t="n"/>
      <c r="C187" s="25" t="n"/>
      <c r="D187" s="25" t="n"/>
      <c r="E187" s="25" t="n"/>
      <c r="F187" s="25" t="n"/>
      <c r="G187" s="21" t="n"/>
      <c r="H187" s="21" t="n"/>
    </row>
    <row r="188">
      <c r="A188" s="25" t="n"/>
      <c r="B188" s="25" t="n"/>
      <c r="C188" s="25" t="n"/>
      <c r="D188" s="25" t="n"/>
      <c r="E188" s="25" t="n"/>
      <c r="F188" s="25" t="n"/>
      <c r="G188" s="21" t="n"/>
      <c r="H188" s="21" t="n"/>
    </row>
    <row r="189">
      <c r="A189" s="25" t="n"/>
      <c r="B189" s="25" t="n"/>
      <c r="C189" s="25" t="n"/>
      <c r="D189" s="25" t="n"/>
      <c r="E189" s="25" t="n"/>
      <c r="F189" s="25" t="n"/>
      <c r="G189" s="21" t="n"/>
      <c r="H189" s="21" t="n"/>
    </row>
    <row r="190">
      <c r="A190" s="25" t="n"/>
      <c r="B190" s="25" t="n"/>
      <c r="C190" s="25" t="n"/>
      <c r="D190" s="25" t="n"/>
      <c r="E190" s="25" t="n"/>
      <c r="F190" s="25" t="n"/>
      <c r="G190" s="21" t="n"/>
      <c r="H190" s="21" t="n"/>
    </row>
    <row r="191">
      <c r="A191" s="25" t="n"/>
      <c r="B191" s="25" t="n"/>
      <c r="C191" s="25" t="n"/>
      <c r="D191" s="25" t="n"/>
      <c r="E191" s="25" t="n"/>
      <c r="F191" s="25" t="n"/>
      <c r="G191" s="21" t="n"/>
      <c r="H191" s="21" t="n"/>
    </row>
    <row r="192">
      <c r="A192" s="25" t="n"/>
      <c r="B192" s="25" t="n"/>
      <c r="C192" s="25" t="n"/>
      <c r="D192" s="25" t="n"/>
      <c r="E192" s="25" t="n"/>
      <c r="F192" s="25" t="n"/>
      <c r="G192" s="21" t="n"/>
      <c r="H192" s="21" t="n"/>
    </row>
    <row r="193">
      <c r="A193" s="25" t="n"/>
      <c r="B193" s="25" t="n"/>
      <c r="C193" s="25" t="n"/>
      <c r="D193" s="25" t="n"/>
      <c r="E193" s="25" t="n"/>
      <c r="F193" s="25" t="n"/>
      <c r="G193" s="21" t="n"/>
      <c r="H193" s="21" t="n"/>
    </row>
    <row r="194">
      <c r="A194" s="25" t="n"/>
      <c r="B194" s="25" t="n"/>
      <c r="C194" s="25" t="n"/>
      <c r="D194" s="25" t="n"/>
      <c r="E194" s="25" t="n"/>
      <c r="F194" s="25" t="n"/>
      <c r="G194" s="21" t="n"/>
      <c r="H194" s="21" t="n"/>
    </row>
    <row r="195">
      <c r="A195" s="25" t="n"/>
      <c r="B195" s="25" t="n"/>
      <c r="C195" s="25" t="n"/>
      <c r="D195" s="25" t="n"/>
      <c r="E195" s="25" t="n"/>
      <c r="F195" s="25" t="n"/>
      <c r="G195" s="21" t="n"/>
      <c r="H195" s="21" t="n"/>
    </row>
    <row r="196">
      <c r="A196" s="25" t="n"/>
      <c r="B196" s="25" t="n"/>
      <c r="C196" s="25" t="n"/>
      <c r="D196" s="25" t="n"/>
      <c r="E196" s="25" t="n"/>
      <c r="F196" s="25" t="n"/>
      <c r="G196" s="21" t="n"/>
      <c r="H196" s="21" t="n"/>
    </row>
    <row r="197">
      <c r="A197" s="25" t="n"/>
      <c r="B197" s="25" t="n"/>
      <c r="C197" s="25" t="n"/>
      <c r="D197" s="25" t="n"/>
      <c r="E197" s="25" t="n"/>
      <c r="F197" s="25" t="n"/>
      <c r="G197" s="21" t="n"/>
      <c r="H197" s="21" t="n"/>
    </row>
    <row r="198">
      <c r="A198" s="25" t="n"/>
      <c r="B198" s="25" t="n"/>
      <c r="C198" s="25" t="n"/>
      <c r="D198" s="25" t="n"/>
      <c r="E198" s="25" t="n"/>
      <c r="F198" s="25" t="n"/>
      <c r="G198" s="21" t="n"/>
      <c r="H198" s="21" t="n"/>
    </row>
    <row r="199">
      <c r="A199" s="25" t="n"/>
      <c r="B199" s="25" t="n"/>
      <c r="C199" s="25" t="n"/>
      <c r="D199" s="25" t="n"/>
      <c r="E199" s="25" t="n"/>
      <c r="F199" s="25" t="n"/>
      <c r="G199" s="21" t="n"/>
      <c r="H199" s="21" t="n"/>
    </row>
    <row r="200">
      <c r="A200" s="25" t="n"/>
      <c r="B200" s="25" t="n"/>
      <c r="C200" s="25" t="n"/>
      <c r="D200" s="25" t="n"/>
      <c r="E200" s="25" t="n"/>
      <c r="F200" s="25" t="n"/>
      <c r="G200" s="21" t="n"/>
      <c r="H200" s="21" t="n"/>
    </row>
    <row r="201">
      <c r="A201" s="25" t="n"/>
      <c r="B201" s="25" t="n"/>
      <c r="C201" s="25" t="n"/>
      <c r="D201" s="25" t="n"/>
      <c r="E201" s="25" t="n"/>
      <c r="F201" s="25" t="n"/>
      <c r="G201" s="21" t="n"/>
      <c r="H201" s="21" t="n"/>
    </row>
    <row r="202">
      <c r="A202" s="25" t="n"/>
      <c r="B202" s="25" t="n"/>
      <c r="C202" s="25" t="n"/>
      <c r="D202" s="25" t="n"/>
      <c r="E202" s="25" t="n"/>
      <c r="F202" s="25" t="n"/>
      <c r="G202" s="21" t="n"/>
      <c r="H202" s="21" t="n"/>
    </row>
    <row r="203">
      <c r="A203" s="25" t="n"/>
      <c r="B203" s="25" t="n"/>
      <c r="C203" s="25" t="n"/>
      <c r="D203" s="25" t="n"/>
      <c r="E203" s="25" t="n"/>
      <c r="F203" s="25" t="n"/>
      <c r="G203" s="21" t="n"/>
      <c r="H203" s="21" t="n"/>
    </row>
    <row r="204">
      <c r="A204" s="25" t="n"/>
      <c r="B204" s="25" t="n"/>
      <c r="C204" s="25" t="n"/>
      <c r="D204" s="25" t="n"/>
      <c r="E204" s="25" t="n"/>
      <c r="F204" s="25" t="n"/>
      <c r="G204" s="21" t="n"/>
      <c r="H204" s="21" t="n"/>
    </row>
    <row r="205">
      <c r="A205" s="25" t="n"/>
      <c r="B205" s="25" t="n"/>
      <c r="C205" s="25" t="n"/>
      <c r="D205" s="25" t="n"/>
      <c r="E205" s="25" t="n"/>
      <c r="F205" s="25" t="n"/>
      <c r="G205" s="21" t="n"/>
      <c r="H205" s="21" t="n"/>
    </row>
  </sheetData>
  <mergeCells count="5">
    <mergeCell ref="A2:H2"/>
    <mergeCell ref="D3:F3"/>
    <mergeCell ref="A3:C3"/>
    <mergeCell ref="A1:H1"/>
    <mergeCell ref="G3:H3"/>
  </mergeCells>
  <dataValidations count="2">
    <dataValidation sqref="D6:D205" showDropDown="0" showInputMessage="0" showErrorMessage="1" allowBlank="0" errorTitle="Значение не из справочника" error="Выберите значение из выпадающего списка — справочник на листе «Справочники»." type="list">
      <formula1>'Справочники'!$L$5:$L$8</formula1>
    </dataValidation>
    <dataValidation sqref="E6:E205" showDropDown="0" showInputMessage="0" showErrorMessage="1" allowBlank="1" error="Разработчик из листа «Разработчики»." type="list">
      <formula1>'Разработчики'!$B$5:$B$205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2026-09-22T09:54:29Z</dcterms:created>
  <dcterms:modified xmlns:dcterms="http://purl.org/dc/terms/" xmlns:xsi="http://www.w3.org/2001/XMLSchema-instance" xsi:type="dcterms:W3CDTF">2026-09-22T09:54:29Z</dcterms:modified>
</cp:coreProperties>
</file>